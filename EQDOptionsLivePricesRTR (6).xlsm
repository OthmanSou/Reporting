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soua\Desktop\Work\Reporting Financier\"/>
    </mc:Choice>
  </mc:AlternateContent>
  <xr:revisionPtr revIDLastSave="0" documentId="13_ncr:1_{A3A44B21-F9B0-4575-A612-EA9313721062}" xr6:coauthVersionLast="47" xr6:coauthVersionMax="47" xr10:uidLastSave="{00000000-0000-0000-0000-000000000000}"/>
  <bookViews>
    <workbookView xWindow="-110" yWindow="490" windowWidth="19420" windowHeight="10420" tabRatio="920" activeTab="1" xr2:uid="{00000000-000D-0000-FFFF-FFFF00000000}"/>
  </bookViews>
  <sheets>
    <sheet name="Live Prices" sheetId="1" r:id="rId1"/>
    <sheet name="Rate Calculation" sheetId="21" r:id="rId2"/>
    <sheet name="Rate Calculation FX" sheetId="23" r:id="rId3"/>
  </sheets>
  <functionGroups builtInGroupCount="19"/>
  <definedNames>
    <definedName name="Basis">'Live Prices'!$B$6</definedName>
    <definedName name="Call1" localSheetId="2">'Live Prices'!#REF!</definedName>
    <definedName name="Call1">'Live Prices'!#REF!</definedName>
    <definedName name="Call2" localSheetId="2">'Live Prices'!#REF!</definedName>
    <definedName name="Call2">'Live Prices'!#REF!</definedName>
    <definedName name="delta1" localSheetId="2">#REF!</definedName>
    <definedName name="delta1">#REF!</definedName>
    <definedName name="delta2" localSheetId="2">#REF!</definedName>
    <definedName name="delta2">#REF!</definedName>
    <definedName name="delta3" localSheetId="2">#REF!</definedName>
    <definedName name="delta3">#REF!</definedName>
    <definedName name="delta4" localSheetId="2">#REF!</definedName>
    <definedName name="delta4">#REF!</definedName>
    <definedName name="deltak" localSheetId="2">#REF!</definedName>
    <definedName name="deltak">#REF!</definedName>
    <definedName name="Divd1" localSheetId="2">'Rate Calculation FX'!$L$6</definedName>
    <definedName name="Divd1">'Rate Calculation'!$M$6</definedName>
    <definedName name="Divd2" localSheetId="2">'Rate Calculation FX'!$L$7</definedName>
    <definedName name="Divd2">'Rate Calculation'!$M$7</definedName>
    <definedName name="Divd3" localSheetId="2">'Rate Calculation FX'!$L$8</definedName>
    <definedName name="Divd3">'Rate Calculation'!$M$8</definedName>
    <definedName name="Divd4" localSheetId="2">'Rate Calculation FX'!$L$9</definedName>
    <definedName name="Divd4">'Rate Calculation'!$M$9</definedName>
    <definedName name="Divd5" localSheetId="2">'Rate Calculation FX'!$L$10</definedName>
    <definedName name="Divd5">'Rate Calculation'!$M$10</definedName>
    <definedName name="Divd6" localSheetId="2">'Rate Calculation FX'!$L$11</definedName>
    <definedName name="Divd6">'Rate Calculation'!$M$11</definedName>
    <definedName name="Divd7">'Rate Calculation'!$M$12</definedName>
    <definedName name="Divd8">'Rate Calculation'!$M$13</definedName>
    <definedName name="every" localSheetId="2">'Live Prices'!#REF!</definedName>
    <definedName name="every">'Live Prices'!#REF!</definedName>
    <definedName name="Expi1">'Live Prices'!$B$19</definedName>
    <definedName name="Expi2">'Live Prices'!$B$20</definedName>
    <definedName name="Expi3">'Live Prices'!$B$21</definedName>
    <definedName name="Expi4">'Live Prices'!$B$22</definedName>
    <definedName name="Expi5">'Live Prices'!$B$23</definedName>
    <definedName name="Expi6">'Live Prices'!$B$24</definedName>
    <definedName name="Expi7">'Live Prices'!$B$25</definedName>
    <definedName name="Expi8">'Live Prices'!$B$26</definedName>
    <definedName name="ExpiFX1">'Live Prices'!$B$29</definedName>
    <definedName name="ExpiFX2">'Live Prices'!$B$30</definedName>
    <definedName name="ExpiFX3">'Live Prices'!$B$31</definedName>
    <definedName name="ExpiFX4">'Live Prices'!$B$32</definedName>
    <definedName name="ExpiFX5">'Live Prices'!$B$33</definedName>
    <definedName name="ExpiFX6">'Live Prices'!$B$34</definedName>
    <definedName name="ExpiFX7">'Live Prices'!$B$35</definedName>
    <definedName name="gamma1" localSheetId="2">#REF!</definedName>
    <definedName name="gamma1">#REF!</definedName>
    <definedName name="gamma2" localSheetId="2">#REF!</definedName>
    <definedName name="gamma2">#REF!</definedName>
    <definedName name="gamma3" localSheetId="2">#REF!</definedName>
    <definedName name="gamma3">#REF!</definedName>
    <definedName name="gamma4" localSheetId="2">#REF!</definedName>
    <definedName name="gamma4">#REF!</definedName>
    <definedName name="LiquidfutRic">'Rate Calculation'!$A$4</definedName>
    <definedName name="mat" localSheetId="2">#REF!</definedName>
    <definedName name="mat">#REF!</definedName>
    <definedName name="MaTFX1">'Live Prices'!$C$29</definedName>
    <definedName name="MaTFX2">'Live Prices'!$C$30</definedName>
    <definedName name="MaTFX3">'Live Prices'!$C$31</definedName>
    <definedName name="MaTFX4">'Live Prices'!$C$32</definedName>
    <definedName name="MatT1">'Live Prices'!$C$19</definedName>
    <definedName name="MatT2">'Live Prices'!$C$20</definedName>
    <definedName name="MatT3">'Live Prices'!$C$21</definedName>
    <definedName name="MatT4">'Live Prices'!$C$22</definedName>
    <definedName name="MatT5">'Live Prices'!$C$23</definedName>
    <definedName name="MatT6">'Live Prices'!$C$24</definedName>
    <definedName name="MatT7">'Live Prices'!$C$25</definedName>
    <definedName name="MatT8">'Live Prices'!$C$26</definedName>
    <definedName name="MaturityDateList" localSheetId="2">'Live Prices'!#REF!</definedName>
    <definedName name="MaturityDateList">'Live Prices'!#REF!</definedName>
    <definedName name="ModelsList">#REF!</definedName>
    <definedName name="offset1" localSheetId="2">'Rate Calculation FX'!$C$48</definedName>
    <definedName name="offset1">'Rate Calculation'!$D$52</definedName>
    <definedName name="offset2" localSheetId="2">'Rate Calculation FX'!$C$49</definedName>
    <definedName name="offset2">'Rate Calculation'!$D$53</definedName>
    <definedName name="offset3" localSheetId="2">'Rate Calculation FX'!$C$50</definedName>
    <definedName name="offset3">'Rate Calculation'!$D$54</definedName>
    <definedName name="offset4" localSheetId="2">'Rate Calculation FX'!$C$51</definedName>
    <definedName name="offset4">'Rate Calculation'!$D$55</definedName>
    <definedName name="offset5" localSheetId="2">'Rate Calculation FX'!$C$52</definedName>
    <definedName name="offset5">'Rate Calculation'!$D$56</definedName>
    <definedName name="offset6" localSheetId="2">'Rate Calculation FX'!$C$53</definedName>
    <definedName name="offset6">'Rate Calculation'!$D$57</definedName>
    <definedName name="offset7">'Rate Calculation'!$D$58</definedName>
    <definedName name="offset7FX">'Rate Calculation FX'!$C$54</definedName>
    <definedName name="offset8">'Rate Calculation'!$D$59</definedName>
    <definedName name="OptionType">'Live Prices'!$A$6</definedName>
    <definedName name="Putt" localSheetId="2">'Live Prices'!#REF!</definedName>
    <definedName name="Putt">'Live Prices'!#REF!</definedName>
    <definedName name="Putt2" localSheetId="2">'Live Prices'!#REF!</definedName>
    <definedName name="Putt2">'Live Prices'!#REF!</definedName>
    <definedName name="rate" localSheetId="2">#REF!</definedName>
    <definedName name="rate">#REF!</definedName>
    <definedName name="Rate1" localSheetId="2">'Rate Calculation FX'!$K$6</definedName>
    <definedName name="Rate1">'Rate Calculation'!$L$6</definedName>
    <definedName name="Rate2" localSheetId="2">'Rate Calculation FX'!$K$7</definedName>
    <definedName name="Rate2">'Rate Calculation'!$L$7</definedName>
    <definedName name="Rate3" localSheetId="2">'Rate Calculation FX'!$K$8</definedName>
    <definedName name="Rate3">'Rate Calculation'!$L$8</definedName>
    <definedName name="Rate4" localSheetId="2">'Rate Calculation FX'!$K$9</definedName>
    <definedName name="Rate4">'Rate Calculation'!$L$9</definedName>
    <definedName name="Rate5" localSheetId="2">'Rate Calculation FX'!$K$10</definedName>
    <definedName name="Rate5">'Rate Calculation'!$L$10</definedName>
    <definedName name="Rate6" localSheetId="2">'Rate Calculation FX'!$K$11</definedName>
    <definedName name="Rate6">'Rate Calculation'!$L$11</definedName>
    <definedName name="Rate7">'Rate Calculation'!$L$12</definedName>
    <definedName name="Rate8">'Rate Calculation'!$L$13</definedName>
    <definedName name="RtrPrefix">'Live Prices'!$A$2</definedName>
    <definedName name="RtrSufix">'Live Prices'!$A$4</definedName>
    <definedName name="spot" localSheetId="2">#REF!</definedName>
    <definedName name="spot">#REF!</definedName>
    <definedName name="SpotPrice">'Live Prices'!$C$10</definedName>
    <definedName name="StepDelta">#REF!</definedName>
    <definedName name="strike1" localSheetId="2">'Live Prices'!#REF!</definedName>
    <definedName name="strike1">'Live Prices'!#REF!</definedName>
    <definedName name="strike2" localSheetId="2">'Live Prices'!#REF!</definedName>
    <definedName name="strike2">'Live Prices'!#REF!</definedName>
    <definedName name="strike3" localSheetId="2">#REF!</definedName>
    <definedName name="strike3">#REF!</definedName>
    <definedName name="strike4" localSheetId="2">#REF!</definedName>
    <definedName name="strike4">#REF!</definedName>
    <definedName name="strikek" localSheetId="2">#REF!</definedName>
    <definedName name="strikek">#REF!</definedName>
    <definedName name="strikeVV1" localSheetId="2">#REF!</definedName>
    <definedName name="strikeVV1">#REF!</definedName>
    <definedName name="strikeVV2" localSheetId="2">#REF!</definedName>
    <definedName name="strikeVV2">#REF!</definedName>
    <definedName name="TimetoMat" localSheetId="2">'Live Prices'!#REF!</definedName>
    <definedName name="TimetoMat">'Live Prices'!#REF!</definedName>
    <definedName name="TodayDate">'Live Prices'!$B$2</definedName>
    <definedName name="UndelyingPricePrev">'Live Prices'!$C$12</definedName>
    <definedName name="UnderlyingPrice">'Live Prices'!$C$11</definedName>
    <definedName name="UnderlyingRic">'Live Prices'!$B$10</definedName>
    <definedName name="vanna1" localSheetId="2">#REF!</definedName>
    <definedName name="vanna1">#REF!</definedName>
    <definedName name="vanna2" localSheetId="2">#REF!</definedName>
    <definedName name="vanna2">#REF!</definedName>
    <definedName name="vanna3" localSheetId="2">#REF!</definedName>
    <definedName name="vanna3">#REF!</definedName>
    <definedName name="vanna4" localSheetId="2">#REF!</definedName>
    <definedName name="vanna4">#REF!</definedName>
    <definedName name="vega1" localSheetId="2">#REF!</definedName>
    <definedName name="vega1">#REF!</definedName>
    <definedName name="vega2" localSheetId="2">#REF!</definedName>
    <definedName name="vega2">#REF!</definedName>
    <definedName name="vega3" localSheetId="2">#REF!</definedName>
    <definedName name="vega3">#REF!</definedName>
    <definedName name="vega4" localSheetId="2">#REF!</definedName>
    <definedName name="vega4">#REF!</definedName>
    <definedName name="vegak" localSheetId="2">#REF!</definedName>
    <definedName name="vegak">#REF!</definedName>
    <definedName name="vomma1" localSheetId="2">#REF!</definedName>
    <definedName name="vomma1">#REF!</definedName>
    <definedName name="vomma2" localSheetId="2">#REF!</definedName>
    <definedName name="vomma2">#REF!</definedName>
    <definedName name="vomma3" localSheetId="2">#REF!</definedName>
    <definedName name="vomma3">#REF!</definedName>
    <definedName name="vomma4" localSheetId="2">#REF!</definedName>
    <definedName name="vomma4">#REF!</definedName>
    <definedName name="YesterdayDate">'Live Prices'!$B$4</definedName>
  </definedNames>
  <calcPr calcId="191029"/>
</workbook>
</file>

<file path=xl/calcChain.xml><?xml version="1.0" encoding="utf-8"?>
<calcChain xmlns="http://schemas.openxmlformats.org/spreadsheetml/2006/main">
  <c r="D9" i="21" l="1"/>
  <c r="B6" i="21"/>
  <c r="C9" i="21"/>
  <c r="B9" i="21"/>
  <c r="E9" i="21"/>
  <c r="F9" i="21"/>
  <c r="G9" i="21"/>
  <c r="H9" i="21"/>
  <c r="I9" i="21"/>
  <c r="C10" i="21"/>
  <c r="D10" i="21"/>
  <c r="E10" i="21"/>
  <c r="F10" i="21"/>
  <c r="G10" i="21"/>
  <c r="H10" i="21"/>
  <c r="I10" i="21"/>
  <c r="B10" i="21"/>
  <c r="B4" i="21"/>
  <c r="B15" i="1"/>
  <c r="B4" i="1" l="1"/>
  <c r="D35" i="21"/>
  <c r="A52" i="21" l="1"/>
  <c r="A53" i="21"/>
  <c r="A54" i="21"/>
  <c r="A19" i="1" l="1"/>
  <c r="B52" i="21" s="1"/>
  <c r="C35" i="21"/>
  <c r="C49" i="21" l="1"/>
  <c r="K6" i="21"/>
  <c r="O33" i="21"/>
  <c r="O34" i="21"/>
  <c r="N32" i="21"/>
  <c r="C9" i="1"/>
  <c r="O32" i="21"/>
  <c r="C37" i="21"/>
  <c r="N33" i="21"/>
  <c r="O35" i="21"/>
  <c r="O31" i="21"/>
  <c r="N31" i="21"/>
  <c r="A21" i="1" l="1"/>
  <c r="B54" i="21" s="1"/>
  <c r="J12" i="23" l="1"/>
  <c r="J11" i="23"/>
  <c r="J10" i="23"/>
  <c r="A54" i="23"/>
  <c r="H11" i="23" s="1"/>
  <c r="H9" i="23" s="1"/>
  <c r="A53" i="23"/>
  <c r="G11" i="23" s="1"/>
  <c r="G9" i="23" s="1"/>
  <c r="A52" i="23"/>
  <c r="F11" i="23" s="1"/>
  <c r="F10" i="23" s="1"/>
  <c r="A51" i="23"/>
  <c r="A35" i="1"/>
  <c r="B54" i="23" s="1"/>
  <c r="A34" i="1"/>
  <c r="B53" i="23" s="1"/>
  <c r="A33" i="1"/>
  <c r="B52" i="23" s="1"/>
  <c r="B35" i="21"/>
  <c r="I7" i="21" l="1"/>
  <c r="G7" i="21"/>
  <c r="B7" i="21"/>
  <c r="B13" i="21" s="1"/>
  <c r="H7" i="21"/>
  <c r="F7" i="21"/>
  <c r="E7" i="21"/>
  <c r="D7" i="21"/>
  <c r="C7" i="21"/>
  <c r="F9" i="23"/>
  <c r="H10" i="23"/>
  <c r="G10" i="23"/>
  <c r="B15" i="21"/>
  <c r="B14" i="21" l="1"/>
  <c r="A55" i="21"/>
  <c r="A49" i="23" l="1"/>
  <c r="A32" i="1" l="1"/>
  <c r="B51" i="23" s="1"/>
  <c r="A31" i="1"/>
  <c r="B50" i="23" s="1"/>
  <c r="A30" i="1"/>
  <c r="B49" i="23" s="1"/>
  <c r="A29" i="1"/>
  <c r="B48" i="23" s="1"/>
  <c r="J6" i="23"/>
  <c r="D37" i="21"/>
  <c r="D36" i="21"/>
  <c r="J9" i="23" l="1"/>
  <c r="J8" i="23"/>
  <c r="J7" i="23"/>
  <c r="E11" i="23"/>
  <c r="C11" i="23"/>
  <c r="A50" i="23"/>
  <c r="D11" i="23" s="1"/>
  <c r="A48" i="23"/>
  <c r="B11" i="23" s="1"/>
  <c r="B11" i="21"/>
  <c r="D45" i="23"/>
  <c r="B31" i="23"/>
  <c r="K13" i="21" l="1"/>
  <c r="K7" i="21"/>
  <c r="K8" i="21"/>
  <c r="K9" i="21"/>
  <c r="K10" i="21"/>
  <c r="K11" i="21"/>
  <c r="K12" i="21"/>
  <c r="B17" i="21"/>
  <c r="B18" i="21"/>
  <c r="C36" i="21"/>
  <c r="B37" i="21"/>
  <c r="B36" i="21"/>
  <c r="D49" i="21"/>
  <c r="B16" i="21"/>
  <c r="I13" i="21" l="1"/>
  <c r="I14" i="21" s="1"/>
  <c r="D38" i="21"/>
  <c r="A59" i="21"/>
  <c r="A58" i="21"/>
  <c r="A57" i="21"/>
  <c r="A56" i="21"/>
  <c r="B49" i="21" l="1"/>
  <c r="I11" i="21" l="1"/>
  <c r="A26" i="1"/>
  <c r="B59" i="21" s="1"/>
  <c r="A25" i="1"/>
  <c r="B58" i="21" s="1"/>
  <c r="A24" i="1"/>
  <c r="B57" i="21" s="1"/>
  <c r="A23" i="1"/>
  <c r="B56" i="21" s="1"/>
  <c r="A22" i="1"/>
  <c r="B55" i="21" s="1"/>
  <c r="A20" i="1"/>
  <c r="B53" i="21" s="1"/>
  <c r="H11" i="21"/>
  <c r="B6" i="23"/>
  <c r="F7" i="23" l="1"/>
  <c r="G7" i="23"/>
  <c r="H7" i="23"/>
  <c r="B7" i="23"/>
  <c r="B13" i="23" s="1"/>
  <c r="C7" i="23"/>
  <c r="D7" i="23"/>
  <c r="E7" i="23"/>
  <c r="E10" i="23"/>
  <c r="E9" i="23"/>
  <c r="C11" i="21"/>
  <c r="B96" i="23"/>
  <c r="B97" i="23" s="1"/>
  <c r="B98" i="23" s="1"/>
  <c r="B99" i="23" s="1"/>
  <c r="B100" i="23" s="1"/>
  <c r="B101" i="23" s="1"/>
  <c r="B102" i="23" s="1"/>
  <c r="B103" i="23" s="1"/>
  <c r="B104" i="23" s="1"/>
  <c r="B105" i="23" s="1"/>
  <c r="B106" i="23" s="1"/>
  <c r="B107" i="23" s="1"/>
  <c r="B108" i="23" s="1"/>
  <c r="B109" i="23" s="1"/>
  <c r="B110" i="23" s="1"/>
  <c r="B111" i="23" s="1"/>
  <c r="B112" i="23" s="1"/>
  <c r="B113" i="23" s="1"/>
  <c r="B114" i="23" s="1"/>
  <c r="B87" i="23"/>
  <c r="B86" i="23"/>
  <c r="D10" i="23"/>
  <c r="C10" i="23"/>
  <c r="B10" i="23"/>
  <c r="D9" i="23"/>
  <c r="C9" i="23"/>
  <c r="B9" i="23"/>
  <c r="B32" i="23"/>
  <c r="B33" i="23"/>
  <c r="C33" i="23"/>
  <c r="C32" i="23"/>
  <c r="C31" i="23"/>
  <c r="F13" i="23" l="1"/>
  <c r="G13" i="23"/>
  <c r="H13" i="23"/>
  <c r="C13" i="23"/>
  <c r="B14" i="23"/>
  <c r="C45" i="23"/>
  <c r="C58" i="23" s="1"/>
  <c r="E13" i="23"/>
  <c r="D13" i="23"/>
  <c r="D32" i="23"/>
  <c r="D58" i="23"/>
  <c r="G11" i="21"/>
  <c r="B15" i="23"/>
  <c r="B17" i="23"/>
  <c r="H14" i="23" l="1"/>
  <c r="G14" i="23"/>
  <c r="G21" i="23" s="1"/>
  <c r="F14" i="23"/>
  <c r="F21" i="23" s="1"/>
  <c r="C14" i="23"/>
  <c r="E14" i="23"/>
  <c r="D14" i="23"/>
  <c r="B57" i="23"/>
  <c r="B59" i="23" s="1"/>
  <c r="B60" i="23" s="1"/>
  <c r="B21" i="23"/>
  <c r="E15" i="23"/>
  <c r="B18" i="23"/>
  <c r="D17" i="23"/>
  <c r="F15" i="23"/>
  <c r="H17" i="23"/>
  <c r="C15" i="23"/>
  <c r="C17" i="23"/>
  <c r="G15" i="23"/>
  <c r="D15" i="23"/>
  <c r="H15" i="23"/>
  <c r="F17" i="23"/>
  <c r="E17" i="23"/>
  <c r="B16" i="23"/>
  <c r="G17" i="23"/>
  <c r="F20" i="23" l="1"/>
  <c r="G20" i="23"/>
  <c r="H20" i="23"/>
  <c r="H21" i="23"/>
  <c r="E21" i="23"/>
  <c r="D21" i="23"/>
  <c r="B20" i="23"/>
  <c r="E20" i="23"/>
  <c r="C16" i="23"/>
  <c r="E16" i="23"/>
  <c r="G18" i="23"/>
  <c r="F16" i="23"/>
  <c r="F18" i="23"/>
  <c r="H18" i="23"/>
  <c r="C18" i="23"/>
  <c r="E18" i="23"/>
  <c r="D18" i="23"/>
  <c r="H16" i="23"/>
  <c r="D16" i="23"/>
  <c r="G16" i="23"/>
  <c r="F19" i="23" l="1"/>
  <c r="F27" i="23" s="1"/>
  <c r="H19" i="23"/>
  <c r="H27" i="23" s="1"/>
  <c r="G19" i="23"/>
  <c r="G27" i="23" s="1"/>
  <c r="D20" i="23"/>
  <c r="C20" i="23"/>
  <c r="C21" i="23"/>
  <c r="D19" i="23"/>
  <c r="E19" i="23"/>
  <c r="B19" i="23"/>
  <c r="B27" i="23" s="1"/>
  <c r="C19" i="23" l="1"/>
  <c r="C27" i="23" s="1"/>
  <c r="E27" i="23"/>
  <c r="D27" i="23"/>
  <c r="I16" i="21"/>
  <c r="C13" i="21" l="1"/>
  <c r="C14" i="21" s="1"/>
  <c r="G13" i="21"/>
  <c r="G14" i="21" s="1"/>
  <c r="H13" i="21"/>
  <c r="E13" i="21"/>
  <c r="E14" i="21" s="1"/>
  <c r="I15" i="21"/>
  <c r="I17" i="21"/>
  <c r="H15" i="21"/>
  <c r="H14" i="21" l="1"/>
  <c r="H21" i="21" s="1"/>
  <c r="B21" i="21"/>
  <c r="I20" i="21"/>
  <c r="I21" i="21"/>
  <c r="C12" i="1"/>
  <c r="C10" i="1"/>
  <c r="H17" i="21"/>
  <c r="I18" i="21"/>
  <c r="H20" i="21" l="1"/>
  <c r="I29" i="21"/>
  <c r="I19" i="21"/>
  <c r="I27" i="21" s="1"/>
  <c r="F11" i="21"/>
  <c r="E11" i="21"/>
  <c r="D11" i="21"/>
  <c r="B2" i="1"/>
  <c r="H16" i="21"/>
  <c r="H18" i="21"/>
  <c r="C26" i="1" l="1"/>
  <c r="C19" i="1"/>
  <c r="B12" i="21" s="1"/>
  <c r="C20" i="1"/>
  <c r="C33" i="1"/>
  <c r="C34" i="1"/>
  <c r="C35" i="1"/>
  <c r="H19" i="21"/>
  <c r="H27" i="21" s="1"/>
  <c r="H29" i="21"/>
  <c r="C29" i="1"/>
  <c r="B12" i="23" s="1"/>
  <c r="C32" i="1"/>
  <c r="C30" i="1"/>
  <c r="C12" i="23" s="1"/>
  <c r="C31" i="1"/>
  <c r="D12" i="23" s="1"/>
  <c r="C22" i="1"/>
  <c r="C21" i="1"/>
  <c r="C24" i="1"/>
  <c r="C23" i="1"/>
  <c r="C25" i="1"/>
  <c r="E16" i="21"/>
  <c r="E12" i="23" l="1"/>
  <c r="E22" i="23" s="1"/>
  <c r="B78" i="23" s="1"/>
  <c r="F12" i="23"/>
  <c r="F22" i="23" s="1"/>
  <c r="B79" i="23" s="1"/>
  <c r="H12" i="23"/>
  <c r="H22" i="23" s="1"/>
  <c r="G12" i="23"/>
  <c r="G22" i="23" s="1"/>
  <c r="I12" i="21"/>
  <c r="I30" i="21" s="1"/>
  <c r="E12" i="21"/>
  <c r="D22" i="23"/>
  <c r="D24" i="23" s="1"/>
  <c r="C22" i="23"/>
  <c r="B76" i="23" s="1"/>
  <c r="B22" i="23"/>
  <c r="H12" i="21"/>
  <c r="H22" i="21" s="1"/>
  <c r="G12" i="21"/>
  <c r="F12" i="21"/>
  <c r="C12" i="21"/>
  <c r="D12" i="21"/>
  <c r="H23" i="23" l="1"/>
  <c r="H24" i="23"/>
  <c r="F23" i="23"/>
  <c r="F24" i="23"/>
  <c r="G23" i="23"/>
  <c r="G24" i="23"/>
  <c r="I22" i="21"/>
  <c r="I23" i="21" s="1"/>
  <c r="B77" i="23"/>
  <c r="D23" i="23"/>
  <c r="K8" i="23" s="1"/>
  <c r="C23" i="23"/>
  <c r="K7" i="23" s="1"/>
  <c r="C24" i="23"/>
  <c r="B29" i="21"/>
  <c r="B30" i="21" s="1"/>
  <c r="H24" i="21"/>
  <c r="H30" i="21"/>
  <c r="E23" i="23"/>
  <c r="L9" i="23" s="1"/>
  <c r="E24" i="23"/>
  <c r="B75" i="23"/>
  <c r="B23" i="23"/>
  <c r="K6" i="23" s="1"/>
  <c r="B24" i="23"/>
  <c r="D13" i="21"/>
  <c r="D15" i="21"/>
  <c r="L13" i="21" l="1"/>
  <c r="M13" i="21"/>
  <c r="K11" i="23"/>
  <c r="L11" i="23"/>
  <c r="K10" i="23"/>
  <c r="L10" i="23"/>
  <c r="K12" i="23"/>
  <c r="L12" i="23"/>
  <c r="F28" i="23"/>
  <c r="C52" i="23" s="1"/>
  <c r="D52" i="23" s="1"/>
  <c r="F25" i="23"/>
  <c r="F26" i="23" s="1"/>
  <c r="G28" i="23"/>
  <c r="C53" i="23" s="1"/>
  <c r="D53" i="23" s="1"/>
  <c r="E53" i="23" s="1"/>
  <c r="G25" i="23"/>
  <c r="G26" i="23" s="1"/>
  <c r="H25" i="23"/>
  <c r="H26" i="23" s="1"/>
  <c r="H28" i="23"/>
  <c r="C54" i="23" s="1"/>
  <c r="D54" i="23" s="1"/>
  <c r="F13" i="21"/>
  <c r="F14" i="21" s="1"/>
  <c r="I25" i="21"/>
  <c r="I28" i="21"/>
  <c r="D14" i="21"/>
  <c r="I24" i="21"/>
  <c r="B85" i="23"/>
  <c r="L8" i="23"/>
  <c r="D25" i="23"/>
  <c r="D26" i="23" s="1"/>
  <c r="D28" i="23"/>
  <c r="C50" i="23" s="1"/>
  <c r="D50" i="23" s="1"/>
  <c r="E50" i="23" s="1"/>
  <c r="B28" i="23"/>
  <c r="C28" i="23"/>
  <c r="C49" i="23" s="1"/>
  <c r="D49" i="23" s="1"/>
  <c r="E49" i="23" s="1"/>
  <c r="C25" i="23"/>
  <c r="C26" i="23" s="1"/>
  <c r="L7" i="23"/>
  <c r="H23" i="21"/>
  <c r="E25" i="23"/>
  <c r="K9" i="23"/>
  <c r="E28" i="23"/>
  <c r="C51" i="23" s="1"/>
  <c r="L6" i="23"/>
  <c r="B25" i="23"/>
  <c r="B26" i="23" s="1"/>
  <c r="B83" i="23"/>
  <c r="F16" i="21"/>
  <c r="D16" i="21"/>
  <c r="L12" i="21" l="1"/>
  <c r="M12" i="21"/>
  <c r="C59" i="21"/>
  <c r="D59" i="21" s="1"/>
  <c r="E59" i="21" s="1"/>
  <c r="E26" i="23"/>
  <c r="D51" i="23"/>
  <c r="E51" i="23" s="1"/>
  <c r="E52" i="23"/>
  <c r="E54" i="23"/>
  <c r="I26" i="21"/>
  <c r="H28" i="21"/>
  <c r="C48" i="23"/>
  <c r="D48" i="23" s="1"/>
  <c r="E48" i="23" s="1"/>
  <c r="H25" i="21"/>
  <c r="H26" i="21" s="1"/>
  <c r="G21" i="21"/>
  <c r="G17" i="21"/>
  <c r="G15" i="21"/>
  <c r="F18" i="21"/>
  <c r="F15" i="21"/>
  <c r="F17" i="21"/>
  <c r="C58" i="21" l="1"/>
  <c r="D58" i="21" s="1"/>
  <c r="E58" i="21" s="1"/>
  <c r="F29" i="21"/>
  <c r="F30" i="21" s="1"/>
  <c r="F19" i="21"/>
  <c r="G20" i="21"/>
  <c r="F21" i="21"/>
  <c r="G18" i="21"/>
  <c r="G16" i="21"/>
  <c r="G29" i="21" l="1"/>
  <c r="G30" i="21" s="1"/>
  <c r="G19" i="21"/>
  <c r="G22" i="21" s="1"/>
  <c r="F20" i="21"/>
  <c r="F27" i="21" s="1"/>
  <c r="G27" i="21" l="1"/>
  <c r="G24" i="21"/>
  <c r="G23" i="21"/>
  <c r="C11" i="1"/>
  <c r="M11" i="21" l="1"/>
  <c r="L11" i="21"/>
  <c r="G25" i="21"/>
  <c r="G26" i="21" s="1"/>
  <c r="G28" i="21"/>
  <c r="C57" i="21" s="1"/>
  <c r="D57" i="21" s="1"/>
  <c r="E15" i="21"/>
  <c r="C17" i="21"/>
  <c r="D17" i="21"/>
  <c r="E57" i="21" l="1"/>
  <c r="C16" i="21"/>
  <c r="E17" i="21"/>
  <c r="C15" i="21"/>
  <c r="C20" i="21" l="1"/>
  <c r="D21" i="21"/>
  <c r="C21" i="21"/>
  <c r="E21" i="21"/>
  <c r="D20" i="21"/>
  <c r="E20" i="21"/>
  <c r="E18" i="21"/>
  <c r="D18" i="21"/>
  <c r="C18" i="21"/>
  <c r="C29" i="21" l="1"/>
  <c r="C30" i="21" s="1"/>
  <c r="D29" i="21"/>
  <c r="D30" i="21" s="1"/>
  <c r="E29" i="21"/>
  <c r="E30" i="21" s="1"/>
  <c r="F22" i="21"/>
  <c r="D19" i="21"/>
  <c r="E19" i="21"/>
  <c r="E22" i="21" s="1"/>
  <c r="C19" i="21"/>
  <c r="D22" i="21" l="1"/>
  <c r="D23" i="21" s="1"/>
  <c r="M8" i="21" s="1"/>
  <c r="D27" i="21"/>
  <c r="E27" i="21"/>
  <c r="F23" i="21"/>
  <c r="M10" i="21" s="1"/>
  <c r="E23" i="21"/>
  <c r="F24" i="21"/>
  <c r="C22" i="21"/>
  <c r="C23" i="21" s="1"/>
  <c r="M7" i="21" s="1"/>
  <c r="C27" i="21"/>
  <c r="E24" i="21"/>
  <c r="E28" i="21" l="1"/>
  <c r="C55" i="21" s="1"/>
  <c r="D55" i="21" s="1"/>
  <c r="E55" i="21" s="1"/>
  <c r="M9" i="21"/>
  <c r="L8" i="21"/>
  <c r="F28" i="21"/>
  <c r="C56" i="21" s="1"/>
  <c r="D56" i="21" s="1"/>
  <c r="D24" i="21"/>
  <c r="D28" i="21"/>
  <c r="C54" i="21" s="1"/>
  <c r="D54" i="21" s="1"/>
  <c r="L7" i="21"/>
  <c r="E25" i="21"/>
  <c r="E26" i="21" s="1"/>
  <c r="L9" i="21"/>
  <c r="D25" i="21"/>
  <c r="F25" i="21"/>
  <c r="F26" i="21" s="1"/>
  <c r="L10" i="21"/>
  <c r="C24" i="21"/>
  <c r="D26" i="21" l="1"/>
  <c r="E56" i="21"/>
  <c r="E54" i="21"/>
  <c r="C28" i="21"/>
  <c r="C25" i="21"/>
  <c r="C26" i="21" s="1"/>
  <c r="B45" i="21" l="1"/>
  <c r="C53" i="21"/>
  <c r="D53" i="21" s="1"/>
  <c r="E53" i="21" s="1"/>
  <c r="B20" i="21"/>
  <c r="B19" i="21"/>
  <c r="B22" i="21" l="1"/>
  <c r="B27" i="21"/>
  <c r="B23" i="21" l="1"/>
  <c r="B24" i="21"/>
  <c r="B28" i="21" l="1"/>
  <c r="C52" i="21" s="1"/>
  <c r="D52" i="21" s="1"/>
  <c r="E52" i="21" s="1"/>
  <c r="L6" i="21"/>
  <c r="B25" i="21"/>
  <c r="B26" i="21" s="1"/>
  <c r="M6" i="21"/>
</calcChain>
</file>

<file path=xl/sharedStrings.xml><?xml version="1.0" encoding="utf-8"?>
<sst xmlns="http://schemas.openxmlformats.org/spreadsheetml/2006/main" count="268" uniqueCount="180">
  <si>
    <t>Today</t>
  </si>
  <si>
    <t>For Rate</t>
  </si>
  <si>
    <t>Dom Rate</t>
  </si>
  <si>
    <t>Strike</t>
  </si>
  <si>
    <t>K1</t>
  </si>
  <si>
    <t>T</t>
  </si>
  <si>
    <t>C1 - P1 = exp(- q . t) . S - K1 . exp(- r . t)</t>
  </si>
  <si>
    <t>C2 - P2 = exp(- q . t) . S - K2 . exp(- r . t)</t>
  </si>
  <si>
    <t>K2 . [ C1 - P1 ] = K2 .exp(- q . t) . S - K2 . K1 . exp(- r . t)</t>
  </si>
  <si>
    <t>K1 . [C2 - P2 ] = K1 .exp(- q . t) . S - K1 . K2 . exp(- r . t)</t>
  </si>
  <si>
    <t>q = - Ln ( [K2 . [C1 - P1 ] - K1 . [C2 - P2 ]] / [ S . [ K2 - K1]] ) / T</t>
  </si>
  <si>
    <t>r = - Ln ( [ S . Exp( - q . T )- C + P ] / K ) / T</t>
  </si>
  <si>
    <t>C1-P1</t>
  </si>
  <si>
    <t>C2-P2</t>
  </si>
  <si>
    <t>K2-K1</t>
  </si>
  <si>
    <t>q per maturity</t>
  </si>
  <si>
    <t>r per maturity</t>
  </si>
  <si>
    <t>Maturity</t>
  </si>
  <si>
    <t>q annual</t>
  </si>
  <si>
    <t>r annual</t>
  </si>
  <si>
    <t>q-r per maturity</t>
  </si>
  <si>
    <t>Underlying</t>
  </si>
  <si>
    <t>Basis</t>
  </si>
  <si>
    <t>Rate</t>
  </si>
  <si>
    <t>Div</t>
  </si>
  <si>
    <t>K2</t>
  </si>
  <si>
    <t>A</t>
  </si>
  <si>
    <t>B</t>
  </si>
  <si>
    <t>C</t>
  </si>
  <si>
    <t>M</t>
  </si>
  <si>
    <t>N</t>
  </si>
  <si>
    <t>Q</t>
  </si>
  <si>
    <t>Reuters Option prefix</t>
  </si>
  <si>
    <t>Rate Calculation</t>
  </si>
  <si>
    <t>Spot Close Level</t>
  </si>
  <si>
    <t>Rounded Spot</t>
  </si>
  <si>
    <t>Shift</t>
  </si>
  <si>
    <t>Ric Put</t>
  </si>
  <si>
    <t>Ric Call</t>
  </si>
  <si>
    <t>C2</t>
  </si>
  <si>
    <t>C1</t>
  </si>
  <si>
    <t>P2</t>
  </si>
  <si>
    <t>P1</t>
  </si>
  <si>
    <t>Calls</t>
  </si>
  <si>
    <t>Puts</t>
  </si>
  <si>
    <t>O</t>
  </si>
  <si>
    <t>D</t>
  </si>
  <si>
    <t>P</t>
  </si>
  <si>
    <t>E</t>
  </si>
  <si>
    <t>F</t>
  </si>
  <si>
    <t>R</t>
  </si>
  <si>
    <t>G</t>
  </si>
  <si>
    <t>S</t>
  </si>
  <si>
    <t>H</t>
  </si>
  <si>
    <t>I</t>
  </si>
  <si>
    <t>U</t>
  </si>
  <si>
    <t>J</t>
  </si>
  <si>
    <t>V</t>
  </si>
  <si>
    <t>K</t>
  </si>
  <si>
    <t>W</t>
  </si>
  <si>
    <t>L</t>
  </si>
  <si>
    <t>X</t>
  </si>
  <si>
    <t>EXPI Date</t>
  </si>
  <si>
    <t>Yesterday</t>
  </si>
  <si>
    <t>Underlying prev</t>
  </si>
  <si>
    <t>Reuters Option Sufix</t>
  </si>
  <si>
    <t>Option Type</t>
  </si>
  <si>
    <t>Future Close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</si>
  <si>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</si>
  <si>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</si>
  <si>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</si>
  <si>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</si>
  <si>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</si>
  <si>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</si>
  <si>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</si>
  <si>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</si>
  <si>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</si>
  <si>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</si>
  <si>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</si>
  <si>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Feb</t>
  </si>
  <si>
    <t>Expi month</t>
  </si>
  <si>
    <t>Fut</t>
  </si>
  <si>
    <t>STXE</t>
  </si>
  <si>
    <t>.EX</t>
  </si>
  <si>
    <t>e</t>
  </si>
  <si>
    <t>STXEc1</t>
  </si>
  <si>
    <t>.STOXX50E</t>
  </si>
  <si>
    <t>STXEc2</t>
  </si>
  <si>
    <t>STXEc3</t>
  </si>
  <si>
    <t>Forward</t>
  </si>
  <si>
    <t>offset oct= fwd close oct-fwd close dec (fut Front month)</t>
  </si>
  <si>
    <t>offset</t>
  </si>
  <si>
    <t>dec</t>
  </si>
  <si>
    <t>mar</t>
  </si>
  <si>
    <t>juin</t>
  </si>
  <si>
    <t>Expi</t>
  </si>
  <si>
    <t>FWD close</t>
  </si>
  <si>
    <t>liquid fut (list)</t>
  </si>
  <si>
    <t>base offset</t>
  </si>
  <si>
    <t>close</t>
  </si>
  <si>
    <t>Last</t>
  </si>
  <si>
    <t>Fwd last</t>
  </si>
  <si>
    <t>PARAM</t>
  </si>
  <si>
    <t>Market</t>
  </si>
  <si>
    <t>product</t>
  </si>
  <si>
    <t>CME</t>
  </si>
  <si>
    <t>6E</t>
  </si>
  <si>
    <t>American</t>
  </si>
  <si>
    <t>rule pricing</t>
  </si>
  <si>
    <t>bjuke…..land</t>
  </si>
  <si>
    <t>american</t>
  </si>
  <si>
    <t>Europeen</t>
  </si>
  <si>
    <t>Black scholes</t>
  </si>
  <si>
    <t>Opt Undl Type</t>
  </si>
  <si>
    <t>EUREX</t>
  </si>
  <si>
    <t>OESX</t>
  </si>
  <si>
    <t>EUROPEAN</t>
  </si>
  <si>
    <t>Spot</t>
  </si>
  <si>
    <t>div=rate</t>
  </si>
  <si>
    <t>Underlying name</t>
  </si>
  <si>
    <t>EUR/USD</t>
  </si>
  <si>
    <t>Eurostoxx</t>
  </si>
  <si>
    <t>Forward Eurostoxx</t>
  </si>
  <si>
    <t xml:space="preserve">rate </t>
  </si>
  <si>
    <t>Implied rate curve Eurostoxx</t>
  </si>
  <si>
    <t>Implied div curve Eurostoxx</t>
  </si>
  <si>
    <t>implied Close Eurostoxx</t>
  </si>
  <si>
    <t>implied spot last</t>
  </si>
  <si>
    <t>model par defaut</t>
  </si>
  <si>
    <t>div / rate</t>
  </si>
  <si>
    <t>div/rate for opt pricing</t>
  </si>
  <si>
    <t>Market Volatility Map Eurostoxx (implied vol)</t>
  </si>
  <si>
    <t>strike</t>
  </si>
  <si>
    <t>Prcing price</t>
  </si>
  <si>
    <t>last/bid/ask/mid/Close</t>
  </si>
  <si>
    <t>IV acuracy</t>
  </si>
  <si>
    <t>IV First guess</t>
  </si>
  <si>
    <t>IV low bound</t>
  </si>
  <si>
    <t>IV lower bound</t>
  </si>
  <si>
    <t>IV upper boud</t>
  </si>
  <si>
    <t>Exercise Type</t>
  </si>
  <si>
    <t>ATM</t>
  </si>
  <si>
    <t>PUT</t>
  </si>
  <si>
    <t>CALL</t>
  </si>
  <si>
    <t>Vol used for pricing</t>
  </si>
  <si>
    <t>Implied vol/Model</t>
  </si>
  <si>
    <t>smile /skew = courbe(slicing) par maturité</t>
  </si>
  <si>
    <t xml:space="preserve">term struct de vol = courbe par strike </t>
  </si>
  <si>
    <t>OffSet Spot</t>
  </si>
  <si>
    <t>Info product</t>
  </si>
  <si>
    <t>underlying=EUR/USD</t>
  </si>
  <si>
    <t>Expidate</t>
  </si>
  <si>
    <t>exercise type = AM</t>
  </si>
  <si>
    <t>Pricing parameter</t>
  </si>
  <si>
    <t>underling type: fwd</t>
  </si>
  <si>
    <t>fwd: 1.2574</t>
  </si>
  <si>
    <t>rate=0</t>
  </si>
  <si>
    <t>div=0</t>
  </si>
  <si>
    <t>t=</t>
  </si>
  <si>
    <t>time basis=365</t>
  </si>
  <si>
    <t>implied vol</t>
  </si>
  <si>
    <t>Fair</t>
  </si>
  <si>
    <t>delta</t>
  </si>
  <si>
    <t>gamma</t>
  </si>
  <si>
    <t>vega</t>
  </si>
  <si>
    <t>theta</t>
  </si>
  <si>
    <t>Outputs</t>
  </si>
  <si>
    <t>PRICER</t>
  </si>
  <si>
    <t>Expi Date</t>
  </si>
  <si>
    <t>Box price</t>
  </si>
  <si>
    <t>Check Forward</t>
  </si>
  <si>
    <t>Expi month FX</t>
  </si>
  <si>
    <t>UROc1</t>
  </si>
  <si>
    <t>UROc2</t>
  </si>
  <si>
    <t>UROc3</t>
  </si>
  <si>
    <r>
      <t>F = [K</t>
    </r>
    <r>
      <rPr>
        <b/>
        <vertAlign val="subscript"/>
        <sz val="10"/>
        <color rgb="FF1F14AC"/>
        <rFont val="Arial"/>
        <family val="2"/>
      </rPr>
      <t>1</t>
    </r>
    <r>
      <rPr>
        <b/>
        <sz val="10"/>
        <color rgb="FF1F14AC"/>
        <rFont val="Arial"/>
        <family val="2"/>
      </rPr>
      <t> . (C</t>
    </r>
    <r>
      <rPr>
        <b/>
        <vertAlign val="subscript"/>
        <sz val="10"/>
        <color rgb="FF1F14AC"/>
        <rFont val="Arial"/>
        <family val="2"/>
      </rPr>
      <t>2</t>
    </r>
    <r>
      <rPr>
        <b/>
        <sz val="10"/>
        <color rgb="FF1F14AC"/>
        <rFont val="Arial"/>
        <family val="2"/>
      </rPr>
      <t> - P</t>
    </r>
    <r>
      <rPr>
        <b/>
        <vertAlign val="subscript"/>
        <sz val="10"/>
        <color rgb="FF1F14AC"/>
        <rFont val="Arial"/>
        <family val="2"/>
      </rPr>
      <t>2</t>
    </r>
    <r>
      <rPr>
        <b/>
        <sz val="10"/>
        <color rgb="FF1F14AC"/>
        <rFont val="Arial"/>
        <family val="2"/>
      </rPr>
      <t>) - K</t>
    </r>
    <r>
      <rPr>
        <b/>
        <vertAlign val="subscript"/>
        <sz val="10"/>
        <color rgb="FF1F14AC"/>
        <rFont val="Arial"/>
        <family val="2"/>
      </rPr>
      <t>2</t>
    </r>
    <r>
      <rPr>
        <b/>
        <sz val="10"/>
        <color rgb="FF1F14AC"/>
        <rFont val="Arial"/>
        <family val="2"/>
      </rPr>
      <t> . (C</t>
    </r>
    <r>
      <rPr>
        <b/>
        <vertAlign val="subscript"/>
        <sz val="10"/>
        <color rgb="FF1F14AC"/>
        <rFont val="Arial"/>
        <family val="2"/>
      </rPr>
      <t>1</t>
    </r>
    <r>
      <rPr>
        <b/>
        <sz val="10"/>
        <color rgb="FF1F14AC"/>
        <rFont val="Arial"/>
        <family val="2"/>
      </rPr>
      <t> - P</t>
    </r>
    <r>
      <rPr>
        <b/>
        <vertAlign val="subscript"/>
        <sz val="10"/>
        <color rgb="FF1F14AC"/>
        <rFont val="Arial"/>
        <family val="2"/>
      </rPr>
      <t>1</t>
    </r>
    <r>
      <rPr>
        <b/>
        <sz val="10"/>
        <color rgb="FF1F14AC"/>
        <rFont val="Arial"/>
        <family val="2"/>
      </rPr>
      <t>)] / [C</t>
    </r>
    <r>
      <rPr>
        <b/>
        <vertAlign val="subscript"/>
        <sz val="10"/>
        <color rgb="FF1F14AC"/>
        <rFont val="Arial"/>
        <family val="2"/>
      </rPr>
      <t>2</t>
    </r>
    <r>
      <rPr>
        <b/>
        <sz val="10"/>
        <color rgb="FF1F14AC"/>
        <rFont val="Arial"/>
        <family val="2"/>
      </rPr>
      <t> - P</t>
    </r>
    <r>
      <rPr>
        <b/>
        <vertAlign val="subscript"/>
        <sz val="10"/>
        <color rgb="FF1F14AC"/>
        <rFont val="Arial"/>
        <family val="2"/>
      </rPr>
      <t>2</t>
    </r>
    <r>
      <rPr>
        <b/>
        <sz val="10"/>
        <color rgb="FF1F14AC"/>
        <rFont val="Arial"/>
        <family val="2"/>
      </rPr>
      <t> - C</t>
    </r>
    <r>
      <rPr>
        <b/>
        <vertAlign val="subscript"/>
        <sz val="10"/>
        <color rgb="FF1F14AC"/>
        <rFont val="Arial"/>
        <family val="2"/>
      </rPr>
      <t>1</t>
    </r>
    <r>
      <rPr>
        <b/>
        <sz val="10"/>
        <color rgb="FF1F14AC"/>
        <rFont val="Arial"/>
        <family val="2"/>
      </rPr>
      <t> + P</t>
    </r>
    <r>
      <rPr>
        <b/>
        <vertAlign val="subscript"/>
        <sz val="10"/>
        <color rgb="FF1F14AC"/>
        <rFont val="Arial"/>
        <family val="2"/>
      </rPr>
      <t>1</t>
    </r>
    <r>
      <rPr>
        <b/>
        <sz val="10"/>
        <color rgb="FF1F14AC"/>
        <rFont val="Arial"/>
        <family val="2"/>
      </rPr>
      <t>]</t>
    </r>
  </si>
  <si>
    <r>
      <t>F = [K</t>
    </r>
    <r>
      <rPr>
        <b/>
        <vertAlign val="subscript"/>
        <sz val="10"/>
        <color rgb="FF0000FF"/>
        <rFont val="Arial"/>
        <family val="2"/>
      </rPr>
      <t>1</t>
    </r>
    <r>
      <rPr>
        <b/>
        <sz val="10"/>
        <color rgb="FF0000FF"/>
        <rFont val="Arial"/>
        <family val="2"/>
      </rPr>
      <t> . (C</t>
    </r>
    <r>
      <rPr>
        <b/>
        <vertAlign val="subscript"/>
        <sz val="10"/>
        <color rgb="FF0000FF"/>
        <rFont val="Arial"/>
        <family val="2"/>
      </rPr>
      <t>2</t>
    </r>
    <r>
      <rPr>
        <b/>
        <sz val="10"/>
        <color rgb="FF0000FF"/>
        <rFont val="Arial"/>
        <family val="2"/>
      </rPr>
      <t> - P</t>
    </r>
    <r>
      <rPr>
        <b/>
        <vertAlign val="subscript"/>
        <sz val="10"/>
        <color rgb="FF0000FF"/>
        <rFont val="Arial"/>
        <family val="2"/>
      </rPr>
      <t>2</t>
    </r>
    <r>
      <rPr>
        <b/>
        <sz val="10"/>
        <color rgb="FF0000FF"/>
        <rFont val="Arial"/>
        <family val="2"/>
      </rPr>
      <t>) - K</t>
    </r>
    <r>
      <rPr>
        <b/>
        <vertAlign val="subscript"/>
        <sz val="10"/>
        <color rgb="FF0000FF"/>
        <rFont val="Arial"/>
        <family val="2"/>
      </rPr>
      <t>2</t>
    </r>
    <r>
      <rPr>
        <b/>
        <sz val="10"/>
        <color rgb="FF0000FF"/>
        <rFont val="Arial"/>
        <family val="2"/>
      </rPr>
      <t> . (C</t>
    </r>
    <r>
      <rPr>
        <b/>
        <vertAlign val="subscript"/>
        <sz val="10"/>
        <color rgb="FF0000FF"/>
        <rFont val="Arial"/>
        <family val="2"/>
      </rPr>
      <t>1</t>
    </r>
    <r>
      <rPr>
        <b/>
        <sz val="10"/>
        <color rgb="FF0000FF"/>
        <rFont val="Arial"/>
        <family val="2"/>
      </rPr>
      <t> - P</t>
    </r>
    <r>
      <rPr>
        <b/>
        <vertAlign val="subscript"/>
        <sz val="10"/>
        <color rgb="FF0000FF"/>
        <rFont val="Arial"/>
        <family val="2"/>
      </rPr>
      <t>1</t>
    </r>
    <r>
      <rPr>
        <b/>
        <sz val="10"/>
        <color rgb="FF0000FF"/>
        <rFont val="Arial"/>
        <family val="2"/>
      </rPr>
      <t>)] / [C</t>
    </r>
    <r>
      <rPr>
        <b/>
        <vertAlign val="subscript"/>
        <sz val="10"/>
        <color rgb="FF0000FF"/>
        <rFont val="Arial"/>
        <family val="2"/>
      </rPr>
      <t>2</t>
    </r>
    <r>
      <rPr>
        <b/>
        <sz val="10"/>
        <color rgb="FF0000FF"/>
        <rFont val="Arial"/>
        <family val="2"/>
      </rPr>
      <t> - P</t>
    </r>
    <r>
      <rPr>
        <b/>
        <vertAlign val="subscript"/>
        <sz val="10"/>
        <color rgb="FF0000FF"/>
        <rFont val="Arial"/>
        <family val="2"/>
      </rPr>
      <t>2</t>
    </r>
    <r>
      <rPr>
        <b/>
        <sz val="10"/>
        <color rgb="FF0000FF"/>
        <rFont val="Arial"/>
        <family val="2"/>
      </rPr>
      <t> - C</t>
    </r>
    <r>
      <rPr>
        <b/>
        <vertAlign val="subscript"/>
        <sz val="10"/>
        <color rgb="FF0000FF"/>
        <rFont val="Arial"/>
        <family val="2"/>
      </rPr>
      <t>1</t>
    </r>
    <r>
      <rPr>
        <b/>
        <sz val="10"/>
        <color rgb="FF0000FF"/>
        <rFont val="Arial"/>
        <family val="2"/>
      </rPr>
      <t> + P</t>
    </r>
    <r>
      <rPr>
        <b/>
        <vertAlign val="subscript"/>
        <sz val="10"/>
        <color rgb="FF0000FF"/>
        <rFont val="Arial"/>
        <family val="2"/>
      </rPr>
      <t>1</t>
    </r>
    <r>
      <rPr>
        <b/>
        <sz val="10"/>
        <color rgb="FF0000FF"/>
        <rFont val="Arial"/>
        <family val="2"/>
      </rPr>
      <t>]</t>
    </r>
  </si>
  <si>
    <t xml:space="preserve"> </t>
  </si>
  <si>
    <t>STXEc4</t>
  </si>
  <si>
    <t>STXEc5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</si>
</sst>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000%"/>
    <numFmt numFmtId="165" formatCode="0.000%"/>
    <numFmt numFmtId="166" formatCode="0.00000"/>
    <numFmt numFmtId="167" formatCode="#,##0.00000"/>
    <numFmt numFmtId="168" formatCode="0.0000"/>
    <numFmt numFmtId="169" formatCode="0.000000000000000000000000000%"/>
    <numFmt numFmtId="170" formatCode="0.00000%"/>
  </numFmts>
  <fonts count="17" x14ac:knownFonts="1">
    <font>
      <sz val="11"/>
      <color theme="1"/>
      <name val="Calibri"/>
      <family val="2"/>
      <scheme val="minor"/>
    </font>
    <font>
      <b/>
      <sz val="10"/>
      <color indexed="12"/>
      <name val="Arial"/>
      <family val="2"/>
    </font>
    <font>
      <b/>
      <sz val="11"/>
      <color rgb="FF1F14AC"/>
      <name val="Calibri"/>
      <family val="2"/>
      <scheme val="minor"/>
    </font>
    <font>
      <sz val="11"/>
      <color rgb="FF1F14AC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0"/>
      <color rgb="FF1F14AC"/>
      <name val="Arial"/>
      <family val="2"/>
    </font>
    <font>
      <b/>
      <vertAlign val="subscript"/>
      <sz val="10"/>
      <color rgb="FF1F14AC"/>
      <name val="Arial"/>
      <family val="2"/>
    </font>
    <font>
      <b/>
      <sz val="10"/>
      <color rgb="FF0000FF"/>
      <name val="Arial"/>
      <family val="2"/>
    </font>
    <font>
      <b/>
      <vertAlign val="subscript"/>
      <sz val="10"/>
      <color rgb="FF0000FF"/>
      <name val="Arial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7" fillId="0" borderId="0"/>
    <xf numFmtId="9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</cellStyleXfs>
  <cellXfs count="182">
    <xf numFmtId="0" fontId="0" fillId="0" borderId="0" xfId="0"/>
    <xf numFmtId="0" fontId="0" fillId="0" borderId="0" xfId="0" applyFill="1" applyBorder="1"/>
    <xf numFmtId="0" fontId="0" fillId="0" borderId="0" xfId="0" applyBorder="1"/>
    <xf numFmtId="0" fontId="0" fillId="0" borderId="13" xfId="0" applyBorder="1"/>
    <xf numFmtId="14" fontId="0" fillId="0" borderId="0" xfId="0" applyNumberFormat="1" applyBorder="1"/>
    <xf numFmtId="0" fontId="0" fillId="0" borderId="12" xfId="0" applyBorder="1"/>
    <xf numFmtId="14" fontId="0" fillId="0" borderId="13" xfId="0" applyNumberFormat="1" applyBorder="1"/>
    <xf numFmtId="0" fontId="3" fillId="0" borderId="1" xfId="0" applyFont="1" applyBorder="1"/>
    <xf numFmtId="0" fontId="0" fillId="3" borderId="0" xfId="0" applyFill="1"/>
    <xf numFmtId="0" fontId="0" fillId="3" borderId="0" xfId="0" applyFill="1" applyBorder="1"/>
    <xf numFmtId="164" fontId="0" fillId="3" borderId="4" xfId="0" applyNumberFormat="1" applyFill="1" applyBorder="1"/>
    <xf numFmtId="164" fontId="0" fillId="3" borderId="0" xfId="0" applyNumberFormat="1" applyFill="1" applyBorder="1"/>
    <xf numFmtId="0" fontId="8" fillId="0" borderId="0" xfId="0" applyFont="1" applyBorder="1"/>
    <xf numFmtId="0" fontId="2" fillId="0" borderId="0" xfId="0" applyFont="1" applyFill="1" applyBorder="1"/>
    <xf numFmtId="14" fontId="2" fillId="0" borderId="0" xfId="0" applyNumberFormat="1" applyFont="1" applyBorder="1"/>
    <xf numFmtId="14" fontId="0" fillId="0" borderId="12" xfId="0" applyNumberFormat="1" applyBorder="1"/>
    <xf numFmtId="0" fontId="8" fillId="0" borderId="0" xfId="0" applyFont="1" applyFill="1" applyBorder="1"/>
    <xf numFmtId="0" fontId="8" fillId="3" borderId="1" xfId="0" applyFont="1" applyFill="1" applyBorder="1"/>
    <xf numFmtId="0" fontId="0" fillId="3" borderId="4" xfId="0" applyFill="1" applyBorder="1"/>
    <xf numFmtId="0" fontId="0" fillId="0" borderId="0" xfId="0" applyBorder="1"/>
    <xf numFmtId="0" fontId="0" fillId="2" borderId="7" xfId="0" applyFill="1" applyBorder="1"/>
    <xf numFmtId="0" fontId="0" fillId="2" borderId="2" xfId="0" applyFill="1" applyBorder="1"/>
    <xf numFmtId="0" fontId="1" fillId="2" borderId="0" xfId="0" applyFont="1" applyFill="1" applyBorder="1"/>
    <xf numFmtId="0" fontId="0" fillId="2" borderId="0" xfId="0" applyFill="1" applyBorder="1"/>
    <xf numFmtId="0" fontId="0" fillId="2" borderId="4" xfId="0" applyFill="1" applyBorder="1"/>
    <xf numFmtId="0" fontId="6" fillId="2" borderId="0" xfId="0" applyFont="1" applyFill="1" applyBorder="1"/>
    <xf numFmtId="0" fontId="0" fillId="2" borderId="8" xfId="0" applyFill="1" applyBorder="1"/>
    <xf numFmtId="0" fontId="0" fillId="2" borderId="6" xfId="0" applyFill="1" applyBorder="1"/>
    <xf numFmtId="0" fontId="10" fillId="5" borderId="1" xfId="0" applyFont="1" applyFill="1" applyBorder="1"/>
    <xf numFmtId="0" fontId="10" fillId="5" borderId="7" xfId="0" applyFont="1" applyFill="1" applyBorder="1"/>
    <xf numFmtId="0" fontId="10" fillId="5" borderId="2" xfId="0" applyFont="1" applyFill="1" applyBorder="1"/>
    <xf numFmtId="14" fontId="10" fillId="5" borderId="3" xfId="0" applyNumberFormat="1" applyFont="1" applyFill="1" applyBorder="1"/>
    <xf numFmtId="164" fontId="10" fillId="5" borderId="0" xfId="0" applyNumberFormat="1" applyFont="1" applyFill="1" applyBorder="1"/>
    <xf numFmtId="164" fontId="10" fillId="5" borderId="4" xfId="0" applyNumberFormat="1" applyFont="1" applyFill="1" applyBorder="1"/>
    <xf numFmtId="14" fontId="10" fillId="5" borderId="5" xfId="0" applyNumberFormat="1" applyFont="1" applyFill="1" applyBorder="1"/>
    <xf numFmtId="164" fontId="10" fillId="5" borderId="8" xfId="0" applyNumberFormat="1" applyFont="1" applyFill="1" applyBorder="1"/>
    <xf numFmtId="164" fontId="10" fillId="5" borderId="6" xfId="0" applyNumberFormat="1" applyFont="1" applyFill="1" applyBorder="1"/>
    <xf numFmtId="0" fontId="0" fillId="0" borderId="9" xfId="0" applyBorder="1"/>
    <xf numFmtId="0" fontId="0" fillId="3" borderId="14" xfId="0" applyFill="1" applyBorder="1"/>
    <xf numFmtId="14" fontId="2" fillId="3" borderId="0" xfId="0" applyNumberFormat="1" applyFont="1" applyFill="1" applyBorder="1"/>
    <xf numFmtId="14" fontId="0" fillId="3" borderId="0" xfId="0" applyNumberFormat="1" applyFill="1" applyBorder="1"/>
    <xf numFmtId="0" fontId="0" fillId="0" borderId="0" xfId="0" applyBorder="1"/>
    <xf numFmtId="0" fontId="0" fillId="3" borderId="1" xfId="0" applyFill="1" applyBorder="1"/>
    <xf numFmtId="0" fontId="0" fillId="3" borderId="7" xfId="0" applyFill="1" applyBorder="1"/>
    <xf numFmtId="0" fontId="0" fillId="3" borderId="2" xfId="0" applyFill="1" applyBorder="1"/>
    <xf numFmtId="0" fontId="8" fillId="3" borderId="3" xfId="0" applyFont="1" applyFill="1" applyBorder="1"/>
    <xf numFmtId="0" fontId="0" fillId="3" borderId="0" xfId="0" applyFill="1" applyBorder="1" applyAlignment="1">
      <alignment horizontal="right"/>
    </xf>
    <xf numFmtId="0" fontId="0" fillId="3" borderId="4" xfId="0" applyFill="1" applyBorder="1" applyAlignment="1">
      <alignment horizontal="right"/>
    </xf>
    <xf numFmtId="0" fontId="0" fillId="3" borderId="3" xfId="0" applyFill="1" applyBorder="1"/>
    <xf numFmtId="14" fontId="0" fillId="3" borderId="0" xfId="0" applyNumberFormat="1" applyFill="1" applyBorder="1" applyAlignment="1">
      <alignment horizontal="right"/>
    </xf>
    <xf numFmtId="14" fontId="0" fillId="3" borderId="4" xfId="0" applyNumberFormat="1" applyFill="1" applyBorder="1" applyAlignment="1">
      <alignment horizontal="right"/>
    </xf>
    <xf numFmtId="0" fontId="0" fillId="3" borderId="5" xfId="0" applyFill="1" applyBorder="1"/>
    <xf numFmtId="0" fontId="0" fillId="3" borderId="8" xfId="0" applyFill="1" applyBorder="1"/>
    <xf numFmtId="0" fontId="0" fillId="3" borderId="6" xfId="0" applyFill="1" applyBorder="1"/>
    <xf numFmtId="17" fontId="2" fillId="3" borderId="0" xfId="0" applyNumberFormat="1" applyFont="1" applyFill="1" applyBorder="1"/>
    <xf numFmtId="17" fontId="2" fillId="3" borderId="7" xfId="0" applyNumberFormat="1" applyFont="1" applyFill="1" applyBorder="1"/>
    <xf numFmtId="17" fontId="2" fillId="3" borderId="8" xfId="0" applyNumberFormat="1" applyFont="1" applyFill="1" applyBorder="1"/>
    <xf numFmtId="0" fontId="8" fillId="3" borderId="5" xfId="0" applyFont="1" applyFill="1" applyBorder="1"/>
    <xf numFmtId="0" fontId="3" fillId="4" borderId="13" xfId="0" applyFont="1" applyFill="1" applyBorder="1"/>
    <xf numFmtId="0" fontId="3" fillId="4" borderId="3" xfId="0" applyFont="1" applyFill="1" applyBorder="1"/>
    <xf numFmtId="0" fontId="0" fillId="4" borderId="0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168" fontId="8" fillId="3" borderId="2" xfId="0" applyNumberFormat="1" applyFont="1" applyFill="1" applyBorder="1"/>
    <xf numFmtId="168" fontId="8" fillId="3" borderId="4" xfId="0" applyNumberFormat="1" applyFont="1" applyFill="1" applyBorder="1"/>
    <xf numFmtId="168" fontId="8" fillId="3" borderId="6" xfId="0" applyNumberFormat="1" applyFont="1" applyFill="1" applyBorder="1"/>
    <xf numFmtId="0" fontId="0" fillId="3" borderId="7" xfId="0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168" fontId="0" fillId="3" borderId="0" xfId="0" applyNumberFormat="1" applyFill="1"/>
    <xf numFmtId="2" fontId="2" fillId="3" borderId="0" xfId="0" applyNumberFormat="1" applyFont="1" applyFill="1" applyBorder="1"/>
    <xf numFmtId="2" fontId="0" fillId="3" borderId="0" xfId="0" applyNumberFormat="1" applyFill="1"/>
    <xf numFmtId="164" fontId="8" fillId="3" borderId="7" xfId="0" applyNumberFormat="1" applyFont="1" applyFill="1" applyBorder="1"/>
    <xf numFmtId="17" fontId="0" fillId="3" borderId="0" xfId="0" applyNumberFormat="1" applyFill="1" applyBorder="1"/>
    <xf numFmtId="168" fontId="0" fillId="3" borderId="0" xfId="0" applyNumberFormat="1" applyFill="1" applyBorder="1"/>
    <xf numFmtId="168" fontId="0" fillId="3" borderId="8" xfId="0" applyNumberFormat="1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168" fontId="0" fillId="3" borderId="20" xfId="0" applyNumberFormat="1" applyFill="1" applyBorder="1"/>
    <xf numFmtId="0" fontId="0" fillId="3" borderId="21" xfId="0" applyFill="1" applyBorder="1"/>
    <xf numFmtId="0" fontId="0" fillId="3" borderId="22" xfId="0" applyFill="1" applyBorder="1"/>
    <xf numFmtId="168" fontId="0" fillId="3" borderId="23" xfId="0" applyNumberFormat="1" applyFill="1" applyBorder="1"/>
    <xf numFmtId="17" fontId="0" fillId="3" borderId="19" xfId="0" applyNumberFormat="1" applyFill="1" applyBorder="1"/>
    <xf numFmtId="164" fontId="0" fillId="3" borderId="15" xfId="0" applyNumberFormat="1" applyFill="1" applyBorder="1"/>
    <xf numFmtId="164" fontId="0" fillId="3" borderId="22" xfId="0" applyNumberFormat="1" applyFill="1" applyBorder="1"/>
    <xf numFmtId="9" fontId="0" fillId="3" borderId="0" xfId="0" applyNumberFormat="1" applyFill="1"/>
    <xf numFmtId="17" fontId="0" fillId="3" borderId="4" xfId="0" applyNumberFormat="1" applyFill="1" applyBorder="1"/>
    <xf numFmtId="9" fontId="0" fillId="3" borderId="0" xfId="0" applyNumberFormat="1" applyFill="1" applyBorder="1"/>
    <xf numFmtId="14" fontId="8" fillId="0" borderId="0" xfId="0" applyNumberFormat="1" applyFont="1" applyBorder="1"/>
    <xf numFmtId="168" fontId="8" fillId="3" borderId="8" xfId="0" applyNumberFormat="1" applyFont="1" applyFill="1" applyBorder="1"/>
    <xf numFmtId="164" fontId="8" fillId="3" borderId="0" xfId="0" applyNumberFormat="1" applyFont="1" applyFill="1" applyBorder="1"/>
    <xf numFmtId="164" fontId="0" fillId="3" borderId="8" xfId="0" applyNumberFormat="1" applyFill="1" applyBorder="1"/>
    <xf numFmtId="164" fontId="0" fillId="3" borderId="6" xfId="0" applyNumberFormat="1" applyFill="1" applyBorder="1"/>
    <xf numFmtId="0" fontId="0" fillId="3" borderId="9" xfId="0" applyFill="1" applyBorder="1"/>
    <xf numFmtId="14" fontId="0" fillId="3" borderId="10" xfId="0" applyNumberFormat="1" applyFill="1" applyBorder="1" applyAlignment="1">
      <alignment horizontal="right"/>
    </xf>
    <xf numFmtId="14" fontId="0" fillId="3" borderId="11" xfId="0" applyNumberFormat="1" applyFill="1" applyBorder="1" applyAlignment="1">
      <alignment horizontal="right"/>
    </xf>
    <xf numFmtId="0" fontId="8" fillId="3" borderId="12" xfId="0" applyFont="1" applyFill="1" applyBorder="1"/>
    <xf numFmtId="0" fontId="0" fillId="0" borderId="1" xfId="0" applyBorder="1"/>
    <xf numFmtId="0" fontId="0" fillId="0" borderId="3" xfId="0" applyBorder="1"/>
    <xf numFmtId="0" fontId="0" fillId="0" borderId="5" xfId="0" applyBorder="1"/>
    <xf numFmtId="168" fontId="0" fillId="6" borderId="15" xfId="0" applyNumberFormat="1" applyFill="1" applyBorder="1"/>
    <xf numFmtId="168" fontId="0" fillId="6" borderId="22" xfId="0" applyNumberFormat="1" applyFill="1" applyBorder="1"/>
    <xf numFmtId="0" fontId="8" fillId="3" borderId="0" xfId="0" applyFont="1" applyFill="1"/>
    <xf numFmtId="0" fontId="8" fillId="3" borderId="0" xfId="0" applyFont="1" applyFill="1" applyBorder="1"/>
    <xf numFmtId="0" fontId="8" fillId="3" borderId="9" xfId="0" applyFont="1" applyFill="1" applyBorder="1"/>
    <xf numFmtId="14" fontId="0" fillId="3" borderId="7" xfId="0" applyNumberForma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  <xf numFmtId="14" fontId="11" fillId="4" borderId="0" xfId="0" applyNumberFormat="1" applyFont="1" applyFill="1" applyBorder="1"/>
    <xf numFmtId="167" fontId="0" fillId="3" borderId="0" xfId="0" applyNumberFormat="1" applyFill="1" applyBorder="1"/>
    <xf numFmtId="14" fontId="11" fillId="4" borderId="7" xfId="0" applyNumberFormat="1" applyFont="1" applyFill="1" applyBorder="1"/>
    <xf numFmtId="14" fontId="11" fillId="4" borderId="8" xfId="0" applyNumberFormat="1" applyFont="1" applyFill="1" applyBorder="1"/>
    <xf numFmtId="164" fontId="8" fillId="3" borderId="2" xfId="0" applyNumberFormat="1" applyFont="1" applyFill="1" applyBorder="1"/>
    <xf numFmtId="164" fontId="8" fillId="3" borderId="4" xfId="0" applyNumberFormat="1" applyFont="1" applyFill="1" applyBorder="1"/>
    <xf numFmtId="14" fontId="0" fillId="3" borderId="19" xfId="0" applyNumberFormat="1" applyFill="1" applyBorder="1"/>
    <xf numFmtId="14" fontId="0" fillId="3" borderId="21" xfId="0" applyNumberFormat="1" applyFill="1" applyBorder="1"/>
    <xf numFmtId="0" fontId="0" fillId="3" borderId="0" xfId="0" applyFill="1" applyBorder="1" applyAlignment="1">
      <alignment horizontal="left"/>
    </xf>
    <xf numFmtId="1" fontId="0" fillId="3" borderId="0" xfId="0" applyNumberFormat="1" applyFill="1" applyBorder="1" applyAlignment="1">
      <alignment horizontal="left"/>
    </xf>
    <xf numFmtId="14" fontId="11" fillId="3" borderId="0" xfId="0" applyNumberFormat="1" applyFont="1" applyFill="1" applyBorder="1"/>
    <xf numFmtId="10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0" fontId="0" fillId="3" borderId="0" xfId="0" applyNumberFormat="1" applyFill="1" applyBorder="1"/>
    <xf numFmtId="10" fontId="8" fillId="3" borderId="0" xfId="0" applyNumberFormat="1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166" fontId="8" fillId="3" borderId="0" xfId="0" applyNumberFormat="1" applyFont="1" applyFill="1" applyBorder="1" applyAlignment="1">
      <alignment horizontal="center"/>
    </xf>
    <xf numFmtId="2" fontId="0" fillId="3" borderId="0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9" fillId="3" borderId="0" xfId="0" applyNumberFormat="1" applyFont="1" applyFill="1" applyBorder="1" applyAlignment="1">
      <alignment horizontal="center"/>
    </xf>
    <xf numFmtId="2" fontId="9" fillId="3" borderId="0" xfId="0" applyNumberFormat="1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165" fontId="8" fillId="3" borderId="0" xfId="0" applyNumberFormat="1" applyFont="1" applyFill="1" applyBorder="1"/>
    <xf numFmtId="2" fontId="0" fillId="3" borderId="0" xfId="0" applyNumberFormat="1" applyFill="1" applyBorder="1"/>
    <xf numFmtId="0" fontId="7" fillId="3" borderId="0" xfId="0" applyFont="1" applyFill="1" applyBorder="1" applyAlignment="1">
      <alignment horizontal="center"/>
    </xf>
    <xf numFmtId="165" fontId="0" fillId="3" borderId="0" xfId="0" applyNumberFormat="1" applyFill="1" applyBorder="1"/>
    <xf numFmtId="0" fontId="5" fillId="3" borderId="0" xfId="0" applyFont="1" applyFill="1" applyBorder="1" applyAlignment="1">
      <alignment horizontal="center"/>
    </xf>
    <xf numFmtId="1" fontId="4" fillId="3" borderId="0" xfId="0" applyNumberFormat="1" applyFont="1" applyFill="1" applyBorder="1" applyAlignment="1">
      <alignment horizontal="center"/>
    </xf>
    <xf numFmtId="166" fontId="8" fillId="3" borderId="0" xfId="0" applyNumberFormat="1" applyFont="1" applyFill="1" applyBorder="1"/>
    <xf numFmtId="2" fontId="9" fillId="3" borderId="0" xfId="0" applyNumberFormat="1" applyFont="1" applyFill="1" applyBorder="1"/>
    <xf numFmtId="1" fontId="0" fillId="3" borderId="0" xfId="0" applyNumberFormat="1" applyFill="1" applyBorder="1"/>
    <xf numFmtId="0" fontId="5" fillId="3" borderId="0" xfId="0" applyFont="1" applyFill="1" applyBorder="1"/>
    <xf numFmtId="1" fontId="9" fillId="3" borderId="0" xfId="0" applyNumberFormat="1" applyFont="1" applyFill="1" applyBorder="1"/>
    <xf numFmtId="0" fontId="6" fillId="3" borderId="0" xfId="0" applyFont="1" applyFill="1" applyBorder="1"/>
    <xf numFmtId="0" fontId="8" fillId="0" borderId="1" xfId="0" applyFont="1" applyBorder="1"/>
    <xf numFmtId="2" fontId="0" fillId="3" borderId="8" xfId="0" applyNumberFormat="1" applyFill="1" applyBorder="1"/>
    <xf numFmtId="166" fontId="0" fillId="0" borderId="7" xfId="0" applyNumberFormat="1" applyFont="1" applyBorder="1"/>
    <xf numFmtId="166" fontId="0" fillId="0" borderId="0" xfId="0" applyNumberFormat="1" applyFont="1" applyBorder="1"/>
    <xf numFmtId="166" fontId="0" fillId="0" borderId="8" xfId="0" applyNumberFormat="1" applyFont="1" applyBorder="1"/>
    <xf numFmtId="2" fontId="8" fillId="3" borderId="0" xfId="0" applyNumberFormat="1" applyFont="1" applyFill="1" applyBorder="1" applyAlignment="1">
      <alignment horizontal="center"/>
    </xf>
    <xf numFmtId="164" fontId="10" fillId="3" borderId="0" xfId="0" applyNumberFormat="1" applyFont="1" applyFill="1" applyBorder="1"/>
    <xf numFmtId="10" fontId="0" fillId="3" borderId="0" xfId="0" applyNumberFormat="1" applyFill="1"/>
    <xf numFmtId="14" fontId="9" fillId="3" borderId="0" xfId="0" applyNumberFormat="1" applyFont="1" applyFill="1" applyBorder="1"/>
    <xf numFmtId="0" fontId="9" fillId="0" borderId="0" xfId="0" applyFont="1" applyBorder="1"/>
    <xf numFmtId="168" fontId="0" fillId="3" borderId="0" xfId="0" applyNumberFormat="1" applyFill="1" applyBorder="1" applyAlignment="1">
      <alignment horizontal="left"/>
    </xf>
    <xf numFmtId="0" fontId="12" fillId="2" borderId="0" xfId="0" applyFont="1" applyFill="1" applyBorder="1"/>
    <xf numFmtId="2" fontId="0" fillId="4" borderId="15" xfId="0" applyNumberFormat="1" applyFill="1" applyBorder="1"/>
    <xf numFmtId="2" fontId="0" fillId="3" borderId="20" xfId="0" applyNumberFormat="1" applyFill="1" applyBorder="1"/>
    <xf numFmtId="0" fontId="14" fillId="2" borderId="0" xfId="0" applyFont="1" applyFill="1" applyBorder="1"/>
    <xf numFmtId="169" fontId="0" fillId="3" borderId="0" xfId="0" applyNumberFormat="1" applyFill="1"/>
    <xf numFmtId="39" fontId="0" fillId="4" borderId="15" xfId="0" applyNumberFormat="1" applyFill="1" applyBorder="1"/>
    <xf numFmtId="39" fontId="0" fillId="4" borderId="22" xfId="0" applyNumberFormat="1" applyFill="1" applyBorder="1"/>
    <xf numFmtId="0" fontId="0" fillId="3" borderId="0" xfId="3" applyNumberFormat="1" applyFont="1" applyFill="1"/>
    <xf numFmtId="170" fontId="0" fillId="3" borderId="0" xfId="4" applyNumberFormat="1" applyFont="1" applyFill="1"/>
    <xf numFmtId="0" fontId="0" fillId="3" borderId="0" xfId="4" applyNumberFormat="1" applyFont="1" applyFill="1"/>
    <xf numFmtId="0" fontId="0" fillId="3" borderId="0" xfId="0" applyNumberFormat="1" applyFill="1"/>
    <xf numFmtId="168" fontId="0" fillId="3" borderId="6" xfId="0" applyNumberFormat="1" applyFill="1" applyBorder="1"/>
    <xf numFmtId="0" fontId="0" fillId="3" borderId="0" xfId="0" applyFill="1" applyBorder="1" applyAlignment="1">
      <alignment horizontal="center"/>
    </xf>
    <xf numFmtId="20" fontId="0" fillId="3" borderId="0" xfId="0" applyNumberFormat="1" applyFill="1" applyBorder="1" applyAlignment="1">
      <alignment horizontal="center"/>
    </xf>
    <xf numFmtId="10" fontId="11" fillId="3" borderId="0" xfId="0" applyNumberFormat="1" applyFont="1" applyFill="1"/>
    <xf numFmtId="166" fontId="0" fillId="0" borderId="2" xfId="0" applyNumberFormat="1" applyFont="1" applyBorder="1"/>
    <xf numFmtId="166" fontId="0" fillId="0" borderId="4" xfId="0" applyNumberFormat="1" applyFont="1" applyBorder="1"/>
    <xf numFmtId="166" fontId="0" fillId="0" borderId="6" xfId="0" applyNumberFormat="1" applyFont="1" applyBorder="1"/>
    <xf numFmtId="166" fontId="8" fillId="3" borderId="6" xfId="0" applyNumberFormat="1" applyFont="1" applyFill="1" applyBorder="1"/>
    <xf numFmtId="0" fontId="0" fillId="3" borderId="0" xfId="0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14" fontId="0" fillId="3" borderId="0" xfId="0" applyNumberFormat="1" applyFill="1"/>
  </cellXfs>
  <cellStyles count="5">
    <cellStyle name="Comma" xfId="3" builtinId="3"/>
    <cellStyle name="Normal" xfId="0" builtinId="0"/>
    <cellStyle name="Normal 2" xfId="1" xr:uid="{00000000-0005-0000-0000-000002000000}"/>
    <cellStyle name="Percent" xfId="4" builtinId="5"/>
    <cellStyle name="Pourcentage 2" xfId="2" xr:uid="{00000000-0005-0000-0000-000004000000}"/>
  </cellStyles>
  <dxfs count="0"/>
  <tableStyles count="0" defaultTableStyle="TableStyleMedium2" defaultPivotStyle="PivotStyleLight16"/>
  <colors>
    <mruColors>
      <color rgb="FF0000FF"/>
      <color rgb="FF1F14AC"/>
      <color rgb="FFFFFF99"/>
      <color rgb="FFCC00CC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The record could not be found</v>
        <stp/>
        <stp>{4745864B-E0E4-4642-A603-D5CE9228A1D4}</stp>
        <tr r="D16" s="23"/>
      </tp>
      <tp t="s">
        <v>The record could not be found</v>
        <stp/>
        <stp>{2F3A40B2-6562-4387-8694-2E60B66611F8}</stp>
        <tr r="I18" s="21"/>
      </tp>
      <tp>
        <v>57.400000000000006</v>
        <stp/>
        <stp>{53CC7560-EBBC-4781-B7B1-17AB4F76A9FC}</stp>
        <tr r="B18" s="21"/>
      </tp>
      <tp t="s">
        <v>The record could not be found</v>
        <stp/>
        <stp>{1975E884-838F-48E3-8C63-FD9EDFED93D5}</stp>
        <tr r="I16" s="21"/>
      </tp>
      <tp>
        <v>44638</v>
        <stp/>
        <stp>{25578A20-C809-49A8-9833-E28549743542}</stp>
        <tr r="N33" s="21"/>
      </tp>
      <tp>
        <v>4112.5</v>
        <stp/>
        <stp>{0E47836F-6A73-4038-BC1C-71568FFAB8DC}</stp>
        <tr r="O31" s="21"/>
      </tp>
      <tp t="s">
        <v>The record could not be found</v>
        <stp/>
        <stp>{7C7F332D-DF1E-484C-867C-697D7CBE75B0}</stp>
        <tr r="G17" s="21"/>
      </tp>
      <tp t="s">
        <v>The record could not be found</v>
        <stp/>
        <stp>{D8CA274A-BA3C-4691-9ACE-9B83DE8087DD}</stp>
        <tr r="B15" s="23"/>
      </tp>
      <tp t="s">
        <v>The record could not be found</v>
        <stp/>
        <stp>{B63A7355-DF68-4D2F-B1E0-1FF3BE48A854}</stp>
        <tr r="C17" s="23"/>
      </tp>
      <tp t="s">
        <v>The record could not be found</v>
        <stp/>
        <stp>{8317698C-74E8-4292-923E-97B5B8745392}</stp>
        <tr r="H18" s="23"/>
      </tp>
      <tp>
        <v>29.700000000000003</v>
        <stp/>
        <stp>{F9D602F9-D44C-4A34-95EB-C3051BF6596A}</stp>
        <tr r="B15" s="21"/>
      </tp>
      <tp>
        <v>4103.03</v>
        <stp/>
        <stp>{34A2B47D-D6D0-41E6-8682-AFEC393DD60D}</stp>
        <tr r="B6" s="21"/>
      </tp>
      <tp t="s">
        <v>The record could not be found</v>
        <stp/>
        <stp>{A47BE5B2-05AD-4D0A-A744-82FF600F4B78}</stp>
        <tr r="B18" s="23"/>
      </tp>
      <tp>
        <v>4057.5</v>
        <stp/>
        <stp>{64C107A4-6BBF-462B-B8EC-14DD0B4AC3F6}</stp>
        <tr r="C37" s="21"/>
      </tp>
      <tp>
        <v>1.1858500000000001</v>
        <stp/>
        <stp>{23B7E3A5-221C-44BB-A889-C2606235B581}</stp>
        <tr r="C33" s="23"/>
      </tp>
      <tp>
        <v>4096.5</v>
        <stp/>
        <stp>{FAC5462F-5E03-4BB3-A5E2-20A8316EDDC6}</stp>
        <tr r="C9" s="1"/>
      </tp>
      <tp t="s">
        <v>The record could not be found</v>
        <stp/>
        <stp>{96A6D647-B154-484D-B58F-70F83D7CADA3}</stp>
        <tr r="G15" s="21"/>
      </tp>
      <tp t="s">
        <v>The record could not be found</v>
        <stp/>
        <stp>{4BEA09D8-169E-4888-9CC5-FCFC17C8C55D}</stp>
        <tr r="D18" s="21"/>
      </tp>
      <tp>
        <v>44638</v>
        <stp/>
        <stp>{49004E4F-9880-4CDD-9FDC-4EE9450BF185}</stp>
        <tr r="B37" s="21"/>
      </tp>
      <tp t="s">
        <v>The record could not be found</v>
        <stp/>
        <stp>{226D38C8-0447-4820-8940-3678A4323AFE}</stp>
        <tr r="I15" s="21"/>
      </tp>
      <tp>
        <v>1.1894</v>
        <stp/>
        <stp>{0D8AFCFC-BFF6-4EB2-8EB1-5C35E295460D}</stp>
        <tr r="D45" s="23"/>
      </tp>
      <tp t="s">
        <v>The record could not be found</v>
        <stp/>
        <stp>{EB8240C9-88AA-4011-BFC2-FAE90B3FC240}</stp>
        <tr r="G18" s="21"/>
      </tp>
      <tp t="s">
        <v>The record could not be found</v>
        <stp/>
        <stp>{1B3EACCB-E102-46E9-A823-8D34BB1007C7}</stp>
        <tr r="H17" s="23"/>
      </tp>
      <tp t="s">
        <v>The record could not be found</v>
        <stp/>
        <stp>{DB332479-AF98-43E9-9430-83B046ABA9AE}</stp>
        <tr r="F17" s="23"/>
      </tp>
      <tp t="s">
        <v>The record could not be found</v>
        <stp/>
        <stp>{F7D56BE9-E275-43C7-B85D-A55C3BD2216C}</stp>
        <tr r="H16" s="21"/>
      </tp>
      <tp t="s">
        <v>The record could not be found</v>
        <stp/>
        <stp>{1912FDD1-2635-42A1-B5C7-0A085211A7DE}</stp>
        <tr r="F16" s="21"/>
      </tp>
      <tp t="s">
        <v>The record could not be found</v>
        <stp/>
        <stp>{EC6BB7FD-2997-4B31-9A98-B2B6E1522576}</stp>
        <tr r="F17" s="21"/>
      </tp>
      <tp>
        <v>4092</v>
        <stp/>
        <stp>{F9875E22-7775-40D6-9FCB-9F219D52D8F5}</stp>
        <tr r="D36" s="21"/>
      </tp>
      <tp t="s">
        <v>The record could not be found</v>
        <stp/>
        <stp>{DFF02C9F-E8E3-424B-BC19-652AD9D96C7E}</stp>
        <tr r="D15" s="21"/>
      </tp>
      <tp t="s">
        <v>The record could not be found</v>
        <stp/>
        <stp>{AE40593F-4956-4B9C-80B1-7D25DC7A8256}</stp>
        <tr r="D17" s="23"/>
      </tp>
      <tp>
        <v>4112.5</v>
        <stp/>
        <stp>{896A91E5-A80D-4D18-9616-D4D771CDFCFA}</stp>
        <tr r="D35" s="21"/>
      </tp>
      <tp>
        <v>44424</v>
        <stp/>
        <stp>{6104F3F9-396B-4173-B922-7B565A4CD3A3}</stp>
        <tr r="B31" s="23"/>
      </tp>
      <tp t="s">
        <v>The record could not be found</v>
        <stp/>
        <stp>{D2B15F9C-D05E-4E63-9D75-052D1CCBDE22}</stp>
        <tr r="H16" s="23"/>
      </tp>
      <tp t="s">
        <v>The record could not be found</v>
        <stp/>
        <stp>{90657ACC-CCFD-4CE1-86CC-3D87C03D15C2}</stp>
        <tr r="D16" s="21"/>
      </tp>
      <tp>
        <v>4117.9800000000005</v>
        <stp/>
        <stp>{FAAC8193-814C-4047-8CC3-264B760263C9}</stp>
        <tr r="C10" s="1"/>
      </tp>
      <tp t="s">
        <v>The record could not be found</v>
        <stp/>
        <stp>{C5542344-1D08-4CA9-BE88-7ABECB4F8561}</stp>
        <tr r="E16" s="23"/>
      </tp>
      <tp>
        <v>44456</v>
        <stp/>
        <stp>{D9F52596-A752-4C95-AC05-C750E70730C5}</stp>
        <tr r="N31" s="21"/>
      </tp>
      <tp t="s">
        <v>The record could not be found</v>
        <stp/>
        <stp>{D3940A16-6EC6-4A88-8412-FCED0614A13F}</stp>
        <tr r="I17" s="21"/>
      </tp>
      <tp t="s">
        <v>The record could not be found</v>
        <stp/>
        <stp>{7955C9B9-05B7-467B-A053-BB75658ECAFA}</stp>
        <tr r="D18" s="23"/>
      </tp>
      <tp>
        <v>4057.5</v>
        <stp/>
        <stp>{D3334A98-AFE2-43EC-8625-912F48BA5F1C}</stp>
        <tr r="O33" s="21"/>
      </tp>
      <tp t="s">
        <v>The record could not be found</v>
        <stp/>
        <stp>{00377A9D-647E-4AF7-8A27-7D0414ECB4E9}</stp>
        <tr r="F18" s="21"/>
      </tp>
      <tp t="s">
        <v>The record could not be found</v>
        <stp/>
        <stp>{FDD08C5F-7446-4FF0-87BA-BFE03171960C}</stp>
        <tr r="E17" s="23"/>
      </tp>
      <tp t="s">
        <v>The record could not be found</v>
        <stp/>
        <stp>{FE0C6BB2-30D8-4A0E-8704-BE157E36A026}</stp>
        <tr r="E16" s="21"/>
      </tp>
      <tp t="s">
        <v>The record could not be found</v>
        <stp/>
        <stp>{7E5B8FF4-5BDC-45DA-B8CB-0FB9E9BCE65E}</stp>
        <tr r="G16" s="23"/>
      </tp>
      <tp t="s">
        <v>The record could not be found</v>
        <stp/>
        <stp>{4227D793-14C9-4215-B8D7-41DB17253987}</stp>
        <tr r="C18" s="23"/>
      </tp>
      <tp t="s">
        <v>The record could not be found</v>
        <stp/>
        <stp>{01156930-6593-4E71-BA32-BDEE934EF832}</stp>
        <tr r="F18" s="23"/>
      </tp>
      <tp t="s">
        <v>The record could not be found</v>
        <stp/>
        <stp>{B6729324-8AEA-4742-A75D-DB4D7BE74F6C}</stp>
        <tr r="H18" s="21"/>
      </tp>
      <tp t="s">
        <v>The record could not be found</v>
        <stp/>
        <stp>{C028A25F-629C-4853-ACFA-420EA109123D}</stp>
        <tr r="G17" s="23"/>
      </tp>
      <tp>
        <v>1.1849500000000002</v>
        <stp/>
        <stp>{C4CB9F14-A034-49F2-9807-78D078EDA431}</stp>
        <tr r="C32" s="23"/>
      </tp>
      <tp t="s">
        <v>The record could not be found</v>
        <stp/>
        <stp>{89D09C9F-C5ED-476C-97D6-4DA7F79C60A7}</stp>
        <tr r="E15" s="23"/>
      </tp>
      <tp>
        <v>44547</v>
        <stp/>
        <stp>{DDCD310B-74D1-4CD3-940D-C506CADF8907}</stp>
        <tr r="B36" s="21"/>
      </tp>
      <tp t="s">
        <v>The record could not be found</v>
        <stp/>
        <stp>{637A984F-9FF5-45B8-B9F3-A5A1FFF3246C}</stp>
        <tr r="D15" s="23"/>
      </tp>
      <tp>
        <v>91.600000000000009</v>
        <stp/>
        <stp>{10A5E4DF-F6C4-40F6-8C31-AF6F2743FFDE}</stp>
        <tr r="C16" s="21"/>
      </tp>
      <tp>
        <v>79.300000000000011</v>
        <stp/>
        <stp>{40753EF2-3733-49BE-A247-E3603358596B}</stp>
        <tr r="B17" s="21"/>
      </tp>
      <tp>
        <v>4057.5</v>
        <stp/>
        <stp>{8BA8E10C-655C-42F8-9F77-9883238DD775}</stp>
        <tr r="D37" s="21"/>
      </tp>
      <tp t="s">
        <v>The record could not be found</v>
        <stp/>
        <stp>{0DEA9BE0-3498-46A3-8C1B-2C21B29C7F80}</stp>
        <tr r="B16" s="23"/>
      </tp>
      <tp t="s">
        <v>The record could not be found</v>
        <stp/>
        <stp>{DD6BCD36-5516-45BB-BA7D-87069D573D43}</stp>
        <tr r="H15" s="23"/>
      </tp>
      <tp>
        <v>62.6</v>
        <stp/>
        <stp>{C3C9A852-E0A9-4572-99E0-19D316DC8737}</stp>
        <tr r="C15" s="21"/>
      </tp>
      <tp t="s">
        <v>The record could not be found</v>
        <stp/>
        <stp>{A8C95C26-E001-4E10-9993-CD113AC54EEE}</stp>
        <tr r="F15" s="23"/>
      </tp>
      <tp t="s">
        <v>The record could not be found</v>
        <stp/>
        <stp>{55C0864D-BAB5-4E26-9B37-F3339215FDF3}</stp>
        <tr r="E17" s="21"/>
      </tp>
      <tp>
        <v>4096.5</v>
        <stp/>
        <stp>{9EE83491-0966-4274-B5A6-DB40FB43A515}</stp>
        <tr r="C35" s="21"/>
      </tp>
      <tp t="s">
        <v>The record could not be found</v>
        <stp/>
        <stp>{984656ED-43EE-4381-8506-5549F33F2C16}</stp>
        <tr r="D17" s="21"/>
      </tp>
      <tp>
        <v>4096.5</v>
        <stp/>
        <stp>{AC4EE271-4E9D-4130-83F1-B1F457FC2B5C}</stp>
        <tr r="C12" s="1"/>
      </tp>
      <tp>
        <v>44456</v>
        <stp/>
        <stp>{7035A47B-C051-41CD-A99C-D4FBA5BE1601}</stp>
        <tr r="B35" s="21"/>
      </tp>
      <tp>
        <v>95.100000000000009</v>
        <stp/>
        <stp>{F6119A4F-72B8-483E-9F97-1CE14EE118C6}</stp>
        <tr r="C18" s="21"/>
      </tp>
      <tp t="s">
        <v>The record could not be found</v>
        <stp/>
        <stp>{7ABDC6A5-8F3F-4E7C-9C73-D6AC61A5CD55}</stp>
        <tr r="B17" s="23"/>
      </tp>
      <tp>
        <v>3970.5</v>
        <stp/>
        <stp>{8FEED2F3-5521-4DC5-8BC0-2D68F55508FE}</stp>
        <tr r="O35" s="21"/>
      </tp>
      <tp t="s">
        <v>The record could not be found</v>
        <stp/>
        <stp>{77E5E3F2-8BBA-4A95-88FE-4063FE03F5B0}</stp>
        <tr r="G18" s="23"/>
      </tp>
      <tp>
        <v>3985</v>
        <stp/>
        <stp>{075B6837-0E71-4923-A06E-B137D81C09D7}</stp>
        <tr r="O34" s="21"/>
      </tp>
      <tp t="s">
        <v>The record could not be found</v>
        <stp/>
        <stp>{4D3A33B3-805A-408B-92F7-B63E9846C21D}</stp>
        <tr r="F15" s="21"/>
      </tp>
      <tp>
        <v>44452</v>
        <stp/>
        <stp>{41E9B8B4-D5BC-4FEE-98E0-6DF893041750}</stp>
        <tr r="B32" s="23"/>
      </tp>
      <tp>
        <v>44487</v>
        <stp/>
        <stp>{2D6E2BB7-D44B-4A04-8166-15B66634FCF2}</stp>
        <tr r="B33" s="23"/>
      </tp>
      <tp t="s">
        <v>The record could not be found</v>
        <stp/>
        <stp>{B4735C94-7F3B-45E6-AF28-DE76F378D214}</stp>
        <tr r="G16" s="21"/>
      </tp>
      <tp>
        <v>4112.5</v>
        <stp/>
        <stp>{36F6E0ED-707D-4129-9F75-1B46ABEB1485}</stp>
        <tr r="D49" s="21"/>
      </tp>
      <tp>
        <v>57.800000000000004</v>
        <stp/>
        <stp>{5945C175-1F29-441D-A640-91991C0B4134}</stp>
        <tr r="B16" s="21"/>
      </tp>
      <tp t="s">
        <v>The record could not be found</v>
        <stp/>
        <stp>{C45B8CE3-4D3B-4643-AB9F-F83488722F96}</stp>
        <tr r="G15" s="23"/>
      </tp>
      <tp t="s">
        <v>The record could not be found</v>
        <stp/>
        <stp>{1C10FC97-DFD2-4D86-877E-0E3877A5016A}</stp>
        <tr r="E18" s="23"/>
      </tp>
      <tp t="s">
        <v>The record could not be found</v>
        <stp/>
        <stp>{2B9A3789-34B1-4756-A9A9-47E7DD0FAD53}</stp>
        <tr r="C16" s="23"/>
      </tp>
      <tp t="s">
        <v>The record could not be found</v>
        <stp/>
        <stp>{21736B8A-CB7E-4701-B640-FD5B06299E6B}</stp>
        <tr r="H17" s="21"/>
      </tp>
      <tp t="s">
        <v>The record could not be found</v>
        <stp/>
        <stp>{ACFB3C88-0183-4791-B55A-74146CEF1260}</stp>
        <tr r="H15" s="21"/>
      </tp>
      <tp t="s">
        <v>The record could not be found</v>
        <stp/>
        <stp>{892412E9-A025-48CB-A107-BA40C18B4B10}</stp>
        <tr r="F16" s="23"/>
      </tp>
      <tp t="s">
        <v>The record could not be found</v>
        <stp/>
        <stp>{17DB64CE-79A8-42B7-9914-8277E9C1314A}</stp>
        <tr r="C15" s="23"/>
      </tp>
      <tp t="s">
        <v>The record could not be found</v>
        <stp/>
        <stp>{C6D027B5-1146-4955-8CEF-0F1E9D9FDB24}</stp>
        <tr r="E18" s="21"/>
      </tp>
      <tp>
        <v>1.1842000000000001</v>
        <stp/>
        <stp>{D2FA6619-6064-43D6-BE13-D50FB38A7E45}</stp>
        <tr r="B6" s="23"/>
      </tp>
      <tp>
        <v>116.10000000000001</v>
        <stp/>
        <stp>{7E67C541-1CAC-4FB2-9A71-AC4394832547}</stp>
        <tr r="C17" s="21"/>
      </tp>
      <tp>
        <v>44547</v>
        <stp/>
        <stp>{9FF8FF88-C9EC-440F-8087-EC22F92ECD88}</stp>
        <tr r="N32" s="21"/>
      </tp>
      <tp>
        <v>4074</v>
        <stp/>
        <stp>{7302079A-A056-4660-ADE2-5BE9583B4F50}</stp>
        <tr r="C36" s="21"/>
      </tp>
      <tp t="s">
        <v>The record could not be found</v>
        <stp/>
        <stp>{4630AAA8-FB38-43B3-8841-24F708816463}</stp>
        <tr r="E15" s="21"/>
      </tp>
      <tp>
        <v>4092</v>
        <stp/>
        <stp>{2CBCA598-3610-4ED7-9EB0-4672953E670D}</stp>
        <tr r="O32" s="21"/>
      </tp>
      <tp>
        <v>1.1843000000000001</v>
        <stp/>
        <stp>{9FF75782-E32F-4259-827D-FD90BE893DAE}</stp>
        <tr r="C31" s="2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Future Term Structure</c:v>
          </c:tx>
          <c:cat>
            <c:numRef>
              <c:f>'Rate Calculation'!$B$35:$B$37</c:f>
              <c:numCache>
                <c:formatCode>mmm\-yy</c:formatCode>
                <c:ptCount val="3"/>
                <c:pt idx="0">
                  <c:v>44456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'Rate Calculation'!$C$35:$C$37</c:f>
              <c:numCache>
                <c:formatCode>0.0000</c:formatCode>
                <c:ptCount val="3"/>
                <c:pt idx="0">
                  <c:v>4096.5</c:v>
                </c:pt>
                <c:pt idx="1">
                  <c:v>4074</c:v>
                </c:pt>
                <c:pt idx="2">
                  <c:v>4057.5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7-4C57-AE69-DC979D5CD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397024"/>
        <c:axId val="-2127716256"/>
      </c:lineChart>
      <c:dateAx>
        <c:axId val="77039702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-2127716256"/>
        <c:crosses val="autoZero"/>
        <c:auto val="1"/>
        <c:lblOffset val="100"/>
        <c:baseTimeUnit val="months"/>
      </c:dateAx>
      <c:valAx>
        <c:axId val="-2127716256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7703970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'Rate Calculation'!$C$51</c:f>
              <c:strCache>
                <c:ptCount val="1"/>
                <c:pt idx="0">
                  <c:v>FWD close</c:v>
                </c:pt>
              </c:strCache>
            </c:strRef>
          </c:tx>
          <c:cat>
            <c:strRef>
              <c:f>'Rate Calculation'!$B$52:$B$56</c:f>
              <c:strCache>
                <c:ptCount val="5"/>
                <c:pt idx="0">
                  <c:v>Aug</c:v>
                </c:pt>
                <c:pt idx="1">
                  <c:v>Sep</c:v>
                </c:pt>
                <c:pt idx="2">
                  <c:v>Dec</c:v>
                </c:pt>
                <c:pt idx="3">
                  <c:v>Mar</c:v>
                </c:pt>
                <c:pt idx="4">
                  <c:v>Mar</c:v>
                </c:pt>
              </c:strCache>
            </c:strRef>
          </c:cat>
          <c:val>
            <c:numRef>
              <c:f>'Rate Calculation'!$C$52:$C$56</c:f>
              <c:numCache>
                <c:formatCode>#,##0.00_);\(#,##0.00\)</c:formatCode>
                <c:ptCount val="5"/>
                <c:pt idx="0">
                  <c:v>4100.4000000000005</c:v>
                </c:pt>
                <c:pt idx="1">
                  <c:v>4096.5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3-4FFC-80FA-CAEE5E57A680}"/>
            </c:ext>
          </c:extLst>
        </c:ser>
        <c:ser>
          <c:idx val="1"/>
          <c:order val="1"/>
          <c:tx>
            <c:strRef>
              <c:f>'Rate Calculation'!$E$51</c:f>
              <c:strCache>
                <c:ptCount val="1"/>
                <c:pt idx="0">
                  <c:v>Fwd last</c:v>
                </c:pt>
              </c:strCache>
            </c:strRef>
          </c:tx>
          <c:cat>
            <c:strRef>
              <c:f>'Rate Calculation'!$B$52:$B$56</c:f>
              <c:strCache>
                <c:ptCount val="5"/>
                <c:pt idx="0">
                  <c:v>Aug</c:v>
                </c:pt>
                <c:pt idx="1">
                  <c:v>Sep</c:v>
                </c:pt>
                <c:pt idx="2">
                  <c:v>Dec</c:v>
                </c:pt>
                <c:pt idx="3">
                  <c:v>Mar</c:v>
                </c:pt>
                <c:pt idx="4">
                  <c:v>Mar</c:v>
                </c:pt>
              </c:strCache>
            </c:strRef>
          </c:cat>
          <c:val>
            <c:numRef>
              <c:f>'Rate Calculation'!$E$52:$E$56</c:f>
              <c:numCache>
                <c:formatCode>0.0000</c:formatCode>
                <c:ptCount val="5"/>
                <c:pt idx="0">
                  <c:v>4116.4000000000005</c:v>
                </c:pt>
                <c:pt idx="1">
                  <c:v>4112.5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03-4FFC-80FA-CAEE5E57A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713512"/>
        <c:axId val="-2127713120"/>
      </c:lineChart>
      <c:catAx>
        <c:axId val="-21277135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2127713120"/>
        <c:crosses val="autoZero"/>
        <c:auto val="1"/>
        <c:lblAlgn val="ctr"/>
        <c:lblOffset val="100"/>
        <c:noMultiLvlLbl val="0"/>
      </c:catAx>
      <c:valAx>
        <c:axId val="-2127713120"/>
        <c:scaling>
          <c:orientation val="minMax"/>
        </c:scaling>
        <c:delete val="0"/>
        <c:axPos val="l"/>
        <c:majorGridlines/>
        <c:numFmt formatCode="#,##0.00_);\(#,##0.00\)" sourceLinked="1"/>
        <c:majorTickMark val="out"/>
        <c:minorTickMark val="none"/>
        <c:tickLblPos val="nextTo"/>
        <c:crossAx val="-2127713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Future Term Structure</c:v>
          </c:tx>
          <c:cat>
            <c:numRef>
              <c:f>'Rate Calculation FX'!$B$31:$B$33</c:f>
              <c:numCache>
                <c:formatCode>mmm\-yy</c:formatCode>
                <c:ptCount val="3"/>
                <c:pt idx="0">
                  <c:v>44424</c:v>
                </c:pt>
                <c:pt idx="1">
                  <c:v>44452</c:v>
                </c:pt>
                <c:pt idx="2">
                  <c:v>44487</c:v>
                </c:pt>
              </c:numCache>
            </c:numRef>
          </c:cat>
          <c:val>
            <c:numRef>
              <c:f>'Rate Calculation FX'!$C$31:$C$33</c:f>
              <c:numCache>
                <c:formatCode>0.0000</c:formatCode>
                <c:ptCount val="3"/>
                <c:pt idx="0">
                  <c:v>1.1843000000000001</c:v>
                </c:pt>
                <c:pt idx="1">
                  <c:v>1.1849500000000002</c:v>
                </c:pt>
                <c:pt idx="2">
                  <c:v>1.1858500000000001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28-4E13-9E89-24C3AB05D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715472"/>
        <c:axId val="-2127714688"/>
      </c:lineChart>
      <c:dateAx>
        <c:axId val="-21277154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-2127714688"/>
        <c:crosses val="autoZero"/>
        <c:auto val="1"/>
        <c:lblOffset val="100"/>
        <c:baseTimeUnit val="months"/>
      </c:dateAx>
      <c:valAx>
        <c:axId val="-2127714688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-2127715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'Rate Calculation FX'!$B$47</c:f>
              <c:strCache>
                <c:ptCount val="1"/>
                <c:pt idx="0">
                  <c:v>Expi</c:v>
                </c:pt>
              </c:strCache>
            </c:strRef>
          </c:tx>
          <c:cat>
            <c:strRef>
              <c:f>'Rate Calculation FX'!$A$48:$A$5152</c:f>
              <c:strCache>
                <c:ptCount val="99"/>
                <c:pt idx="0">
                  <c:v>02/07/2015</c:v>
                </c:pt>
                <c:pt idx="1">
                  <c:v>07/08/2015</c:v>
                </c:pt>
                <c:pt idx="2">
                  <c:v>04/09/2015</c:v>
                </c:pt>
                <c:pt idx="3">
                  <c:v>04/12/2015</c:v>
                </c:pt>
                <c:pt idx="4">
                  <c:v>04/12/2015</c:v>
                </c:pt>
                <c:pt idx="5">
                  <c:v>04/12/2015</c:v>
                </c:pt>
                <c:pt idx="6">
                  <c:v>04/03/2016</c:v>
                </c:pt>
                <c:pt idx="8">
                  <c:v>implied Close Eurostoxx</c:v>
                </c:pt>
                <c:pt idx="9">
                  <c:v>close</c:v>
                </c:pt>
                <c:pt idx="10">
                  <c:v>liquid fut (list)</c:v>
                </c:pt>
                <c:pt idx="11">
                  <c:v>offset</c:v>
                </c:pt>
                <c:pt idx="12">
                  <c:v>implied spot last</c:v>
                </c:pt>
                <c:pt idx="14">
                  <c:v>PARAM</c:v>
                </c:pt>
                <c:pt idx="15">
                  <c:v>Market</c:v>
                </c:pt>
                <c:pt idx="16">
                  <c:v>CME</c:v>
                </c:pt>
                <c:pt idx="17">
                  <c:v>EUREX</c:v>
                </c:pt>
                <c:pt idx="19">
                  <c:v>rule pricing</c:v>
                </c:pt>
                <c:pt idx="20">
                  <c:v>american</c:v>
                </c:pt>
                <c:pt idx="21">
                  <c:v>Europeen</c:v>
                </c:pt>
                <c:pt idx="25">
                  <c:v>Implied div curve Eurostoxx</c:v>
                </c:pt>
                <c:pt idx="26">
                  <c:v>Expi</c:v>
                </c:pt>
                <c:pt idx="27">
                  <c:v>oct-14</c:v>
                </c:pt>
                <c:pt idx="28">
                  <c:v>nov-14</c:v>
                </c:pt>
                <c:pt idx="29">
                  <c:v>dec</c:v>
                </c:pt>
                <c:pt idx="30">
                  <c:v>mar</c:v>
                </c:pt>
                <c:pt idx="31">
                  <c:v>juin</c:v>
                </c:pt>
                <c:pt idx="33">
                  <c:v>Implied rate curve Eurostoxx</c:v>
                </c:pt>
                <c:pt idx="34">
                  <c:v>Expi</c:v>
                </c:pt>
                <c:pt idx="35">
                  <c:v>oct-14</c:v>
                </c:pt>
                <c:pt idx="36">
                  <c:v>nov-14</c:v>
                </c:pt>
                <c:pt idx="37">
                  <c:v>dec</c:v>
                </c:pt>
                <c:pt idx="38">
                  <c:v>mar</c:v>
                </c:pt>
                <c:pt idx="39">
                  <c:v>juin</c:v>
                </c:pt>
                <c:pt idx="42">
                  <c:v>Market Volatility Map Eurostoxx (implied vol)</c:v>
                </c:pt>
                <c:pt idx="45">
                  <c:v>PUT</c:v>
                </c:pt>
                <c:pt idx="46">
                  <c:v>PUT</c:v>
                </c:pt>
                <c:pt idx="47">
                  <c:v>PUT</c:v>
                </c:pt>
                <c:pt idx="48">
                  <c:v>PUT</c:v>
                </c:pt>
                <c:pt idx="49">
                  <c:v>PUT</c:v>
                </c:pt>
                <c:pt idx="50">
                  <c:v>PUT</c:v>
                </c:pt>
                <c:pt idx="51">
                  <c:v>ATM</c:v>
                </c:pt>
                <c:pt idx="52">
                  <c:v>CALL</c:v>
                </c:pt>
                <c:pt idx="53">
                  <c:v>CALL</c:v>
                </c:pt>
                <c:pt idx="54">
                  <c:v>CALL</c:v>
                </c:pt>
                <c:pt idx="55">
                  <c:v>CALL</c:v>
                </c:pt>
                <c:pt idx="56">
                  <c:v>CALL</c:v>
                </c:pt>
                <c:pt idx="57">
                  <c:v>CALL</c:v>
                </c:pt>
                <c:pt idx="58">
                  <c:v>CALL</c:v>
                </c:pt>
                <c:pt idx="59">
                  <c:v>CALL</c:v>
                </c:pt>
                <c:pt idx="60">
                  <c:v>CALL</c:v>
                </c:pt>
                <c:pt idx="61">
                  <c:v>CALL</c:v>
                </c:pt>
                <c:pt idx="62">
                  <c:v>CALL</c:v>
                </c:pt>
                <c:pt idx="63">
                  <c:v>CALL</c:v>
                </c:pt>
                <c:pt idx="64">
                  <c:v>CALL</c:v>
                </c:pt>
                <c:pt idx="65">
                  <c:v>CALL</c:v>
                </c:pt>
                <c:pt idx="66">
                  <c:v>CALL</c:v>
                </c:pt>
                <c:pt idx="69">
                  <c:v>smile /skew = courbe(slicing) par maturité</c:v>
                </c:pt>
                <c:pt idx="70">
                  <c:v>term struct de vol = courbe par strike </c:v>
                </c:pt>
                <c:pt idx="75">
                  <c:v>PRICER</c:v>
                </c:pt>
                <c:pt idx="76">
                  <c:v>Info product</c:v>
                </c:pt>
                <c:pt idx="77">
                  <c:v>CME</c:v>
                </c:pt>
                <c:pt idx="78">
                  <c:v>6E</c:v>
                </c:pt>
                <c:pt idx="79">
                  <c:v>underlying=EUR/USD</c:v>
                </c:pt>
                <c:pt idx="80">
                  <c:v>Expidate</c:v>
                </c:pt>
                <c:pt idx="81">
                  <c:v>Strike</c:v>
                </c:pt>
                <c:pt idx="82">
                  <c:v>exercise type = AM</c:v>
                </c:pt>
                <c:pt idx="83">
                  <c:v>underling type: fwd</c:v>
                </c:pt>
                <c:pt idx="85">
                  <c:v>Pricing parameter</c:v>
                </c:pt>
                <c:pt idx="86">
                  <c:v>fwd: 1.2574</c:v>
                </c:pt>
                <c:pt idx="87">
                  <c:v>rate=0</c:v>
                </c:pt>
                <c:pt idx="88">
                  <c:v>div=0</c:v>
                </c:pt>
                <c:pt idx="89">
                  <c:v>t=</c:v>
                </c:pt>
                <c:pt idx="90">
                  <c:v>time basis=365</c:v>
                </c:pt>
                <c:pt idx="91">
                  <c:v>implied vol</c:v>
                </c:pt>
                <c:pt idx="93">
                  <c:v>Outputs</c:v>
                </c:pt>
                <c:pt idx="94">
                  <c:v>Fair</c:v>
                </c:pt>
                <c:pt idx="95">
                  <c:v>delta</c:v>
                </c:pt>
                <c:pt idx="96">
                  <c:v>gamma</c:v>
                </c:pt>
                <c:pt idx="97">
                  <c:v>vega</c:v>
                </c:pt>
                <c:pt idx="98">
                  <c:v>theta</c:v>
                </c:pt>
              </c:strCache>
            </c:strRef>
          </c:cat>
          <c:val>
            <c:numRef>
              <c:f>'Rate Calculation FX'!$B$48:$B$52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9-4BA3-8E3A-FFAB99727334}"/>
            </c:ext>
          </c:extLst>
        </c:ser>
        <c:ser>
          <c:idx val="1"/>
          <c:order val="1"/>
          <c:tx>
            <c:strRef>
              <c:f>'Rate Calculation FX'!$D$47</c:f>
              <c:strCache>
                <c:ptCount val="1"/>
                <c:pt idx="0">
                  <c:v>base offset</c:v>
                </c:pt>
              </c:strCache>
            </c:strRef>
          </c:tx>
          <c:cat>
            <c:strRef>
              <c:f>'Rate Calculation FX'!$A$48:$A$5152</c:f>
              <c:strCache>
                <c:ptCount val="99"/>
                <c:pt idx="0">
                  <c:v>02/07/2015</c:v>
                </c:pt>
                <c:pt idx="1">
                  <c:v>07/08/2015</c:v>
                </c:pt>
                <c:pt idx="2">
                  <c:v>04/09/2015</c:v>
                </c:pt>
                <c:pt idx="3">
                  <c:v>04/12/2015</c:v>
                </c:pt>
                <c:pt idx="4">
                  <c:v>04/12/2015</c:v>
                </c:pt>
                <c:pt idx="5">
                  <c:v>04/12/2015</c:v>
                </c:pt>
                <c:pt idx="6">
                  <c:v>04/03/2016</c:v>
                </c:pt>
                <c:pt idx="8">
                  <c:v>implied Close Eurostoxx</c:v>
                </c:pt>
                <c:pt idx="9">
                  <c:v>close</c:v>
                </c:pt>
                <c:pt idx="10">
                  <c:v>liquid fut (list)</c:v>
                </c:pt>
                <c:pt idx="11">
                  <c:v>offset</c:v>
                </c:pt>
                <c:pt idx="12">
                  <c:v>implied spot last</c:v>
                </c:pt>
                <c:pt idx="14">
                  <c:v>PARAM</c:v>
                </c:pt>
                <c:pt idx="15">
                  <c:v>Market</c:v>
                </c:pt>
                <c:pt idx="16">
                  <c:v>CME</c:v>
                </c:pt>
                <c:pt idx="17">
                  <c:v>EUREX</c:v>
                </c:pt>
                <c:pt idx="19">
                  <c:v>rule pricing</c:v>
                </c:pt>
                <c:pt idx="20">
                  <c:v>american</c:v>
                </c:pt>
                <c:pt idx="21">
                  <c:v>Europeen</c:v>
                </c:pt>
                <c:pt idx="25">
                  <c:v>Implied div curve Eurostoxx</c:v>
                </c:pt>
                <c:pt idx="26">
                  <c:v>Expi</c:v>
                </c:pt>
                <c:pt idx="27">
                  <c:v>oct-14</c:v>
                </c:pt>
                <c:pt idx="28">
                  <c:v>nov-14</c:v>
                </c:pt>
                <c:pt idx="29">
                  <c:v>dec</c:v>
                </c:pt>
                <c:pt idx="30">
                  <c:v>mar</c:v>
                </c:pt>
                <c:pt idx="31">
                  <c:v>juin</c:v>
                </c:pt>
                <c:pt idx="33">
                  <c:v>Implied rate curve Eurostoxx</c:v>
                </c:pt>
                <c:pt idx="34">
                  <c:v>Expi</c:v>
                </c:pt>
                <c:pt idx="35">
                  <c:v>oct-14</c:v>
                </c:pt>
                <c:pt idx="36">
                  <c:v>nov-14</c:v>
                </c:pt>
                <c:pt idx="37">
                  <c:v>dec</c:v>
                </c:pt>
                <c:pt idx="38">
                  <c:v>mar</c:v>
                </c:pt>
                <c:pt idx="39">
                  <c:v>juin</c:v>
                </c:pt>
                <c:pt idx="42">
                  <c:v>Market Volatility Map Eurostoxx (implied vol)</c:v>
                </c:pt>
                <c:pt idx="45">
                  <c:v>PUT</c:v>
                </c:pt>
                <c:pt idx="46">
                  <c:v>PUT</c:v>
                </c:pt>
                <c:pt idx="47">
                  <c:v>PUT</c:v>
                </c:pt>
                <c:pt idx="48">
                  <c:v>PUT</c:v>
                </c:pt>
                <c:pt idx="49">
                  <c:v>PUT</c:v>
                </c:pt>
                <c:pt idx="50">
                  <c:v>PUT</c:v>
                </c:pt>
                <c:pt idx="51">
                  <c:v>ATM</c:v>
                </c:pt>
                <c:pt idx="52">
                  <c:v>CALL</c:v>
                </c:pt>
                <c:pt idx="53">
                  <c:v>CALL</c:v>
                </c:pt>
                <c:pt idx="54">
                  <c:v>CALL</c:v>
                </c:pt>
                <c:pt idx="55">
                  <c:v>CALL</c:v>
                </c:pt>
                <c:pt idx="56">
                  <c:v>CALL</c:v>
                </c:pt>
                <c:pt idx="57">
                  <c:v>CALL</c:v>
                </c:pt>
                <c:pt idx="58">
                  <c:v>CALL</c:v>
                </c:pt>
                <c:pt idx="59">
                  <c:v>CALL</c:v>
                </c:pt>
                <c:pt idx="60">
                  <c:v>CALL</c:v>
                </c:pt>
                <c:pt idx="61">
                  <c:v>CALL</c:v>
                </c:pt>
                <c:pt idx="62">
                  <c:v>CALL</c:v>
                </c:pt>
                <c:pt idx="63">
                  <c:v>CALL</c:v>
                </c:pt>
                <c:pt idx="64">
                  <c:v>CALL</c:v>
                </c:pt>
                <c:pt idx="65">
                  <c:v>CALL</c:v>
                </c:pt>
                <c:pt idx="66">
                  <c:v>CALL</c:v>
                </c:pt>
                <c:pt idx="69">
                  <c:v>smile /skew = courbe(slicing) par maturité</c:v>
                </c:pt>
                <c:pt idx="70">
                  <c:v>term struct de vol = courbe par strike </c:v>
                </c:pt>
                <c:pt idx="75">
                  <c:v>PRICER</c:v>
                </c:pt>
                <c:pt idx="76">
                  <c:v>Info product</c:v>
                </c:pt>
                <c:pt idx="77">
                  <c:v>CME</c:v>
                </c:pt>
                <c:pt idx="78">
                  <c:v>6E</c:v>
                </c:pt>
                <c:pt idx="79">
                  <c:v>underlying=EUR/USD</c:v>
                </c:pt>
                <c:pt idx="80">
                  <c:v>Expidate</c:v>
                </c:pt>
                <c:pt idx="81">
                  <c:v>Strike</c:v>
                </c:pt>
                <c:pt idx="82">
                  <c:v>exercise type = AM</c:v>
                </c:pt>
                <c:pt idx="83">
                  <c:v>underling type: fwd</c:v>
                </c:pt>
                <c:pt idx="85">
                  <c:v>Pricing parameter</c:v>
                </c:pt>
                <c:pt idx="86">
                  <c:v>fwd: 1.2574</c:v>
                </c:pt>
                <c:pt idx="87">
                  <c:v>rate=0</c:v>
                </c:pt>
                <c:pt idx="88">
                  <c:v>div=0</c:v>
                </c:pt>
                <c:pt idx="89">
                  <c:v>t=</c:v>
                </c:pt>
                <c:pt idx="90">
                  <c:v>time basis=365</c:v>
                </c:pt>
                <c:pt idx="91">
                  <c:v>implied vol</c:v>
                </c:pt>
                <c:pt idx="93">
                  <c:v>Outputs</c:v>
                </c:pt>
                <c:pt idx="94">
                  <c:v>Fair</c:v>
                </c:pt>
                <c:pt idx="95">
                  <c:v>delta</c:v>
                </c:pt>
                <c:pt idx="96">
                  <c:v>gamma</c:v>
                </c:pt>
                <c:pt idx="97">
                  <c:v>vega</c:v>
                </c:pt>
                <c:pt idx="98">
                  <c:v>theta</c:v>
                </c:pt>
              </c:strCache>
            </c:strRef>
          </c:cat>
          <c:val>
            <c:numRef>
              <c:f>'Rate Calculation FX'!$D$48:$D$52</c:f>
              <c:numCache>
                <c:formatCode>0.0000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9-4BA3-8E3A-FFAB99727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714296"/>
        <c:axId val="680913256"/>
      </c:lineChart>
      <c:catAx>
        <c:axId val="-21277142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80913256"/>
        <c:crosses val="autoZero"/>
        <c:auto val="1"/>
        <c:lblAlgn val="ctr"/>
        <c:lblOffset val="100"/>
        <c:noMultiLvlLbl val="0"/>
      </c:catAx>
      <c:valAx>
        <c:axId val="680913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7714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514349</xdr:colOff>
      <xdr:row>33</xdr:row>
      <xdr:rowOff>57150</xdr:rowOff>
    </xdr:from>
    <xdr:to>
      <xdr:col>11</xdr:col>
      <xdr:colOff>752474</xdr:colOff>
      <xdr:row>45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380999</xdr:colOff>
      <xdr:row>45</xdr:row>
      <xdr:rowOff>104775</xdr:rowOff>
    </xdr:from>
    <xdr:to>
      <xdr:col>15</xdr:col>
      <xdr:colOff>600074</xdr:colOff>
      <xdr:row>59</xdr:row>
      <xdr:rowOff>152400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819150</xdr:colOff>
          <xdr:row>38</xdr:row>
          <xdr:rowOff>127000</xdr:rowOff>
        </xdr:from>
        <xdr:to>
          <xdr:col>5</xdr:col>
          <xdr:colOff>1003300</xdr:colOff>
          <xdr:row>41</xdr:row>
          <xdr:rowOff>88900</xdr:rowOff>
        </xdr:to>
        <xdr:sp macro="" textlink="">
          <xdr:nvSpPr>
            <xdr:cNvPr id="1027" name="InsertBut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676274</xdr:colOff>
      <xdr:row>28</xdr:row>
      <xdr:rowOff>0</xdr:rowOff>
    </xdr:from>
    <xdr:to>
      <xdr:col>16</xdr:col>
      <xdr:colOff>190499</xdr:colOff>
      <xdr:row>40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476250</xdr:colOff>
      <xdr:row>41</xdr:row>
      <xdr:rowOff>0</xdr:rowOff>
    </xdr:from>
    <xdr:to>
      <xdr:col>16</xdr:col>
      <xdr:colOff>476250</xdr:colOff>
      <xdr:row>55</xdr:row>
      <xdr:rowOff>38100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vePrice_sht">
    <tabColor theme="5" tint="0.59999389629810485"/>
  </sheetPr>
  <dimension ref="A1:BS232"/>
  <sheetViews>
    <sheetView showGridLines="0" topLeftCell="A2" workbookViewId="0">
      <selection activeCell="A2" sqref="A2"/>
    </sheetView>
  </sheetViews>
  <sheetFormatPr defaultColWidth="11.453125" defaultRowHeight="14.5" x14ac:dyDescent="0.35"/>
  <cols>
    <col min="1" max="1" width="20.26953125" style="2" bestFit="1" customWidth="1"/>
    <col min="2" max="2" width="15.26953125" style="2" customWidth="1"/>
    <col min="3" max="3" width="10.7265625" style="2" bestFit="1" customWidth="1"/>
    <col min="4" max="4" width="13.81640625" style="9" customWidth="1"/>
    <col min="5" max="7" width="11.453125" style="9"/>
    <col min="8" max="8" width="15.1796875" style="9" bestFit="1" customWidth="1"/>
    <col min="9" max="10" width="11.453125" style="9"/>
    <col min="11" max="12" width="11.453125" style="132"/>
    <col min="13" max="14" width="11.453125" style="139"/>
    <col min="15" max="15" width="15.7265625" style="9" bestFit="1" customWidth="1"/>
    <col min="16" max="16" width="15.7265625" style="9" customWidth="1"/>
    <col min="17" max="18" width="11.453125" style="9"/>
    <col min="19" max="20" width="11.453125" style="141"/>
    <col min="21" max="22" width="11.453125" style="9"/>
    <col min="23" max="23" width="14.453125" style="9" bestFit="1" customWidth="1"/>
    <col min="24" max="24" width="11.453125" style="138"/>
    <col min="25" max="26" width="11.453125" style="122"/>
    <col min="27" max="30" width="11.453125" style="9"/>
    <col min="31" max="31" width="14.453125" style="9" bestFit="1" customWidth="1"/>
    <col min="32" max="32" width="15" style="138" bestFit="1" customWidth="1"/>
    <col min="33" max="34" width="11.453125" style="122"/>
    <col min="35" max="39" width="11.453125" style="9"/>
    <col min="40" max="40" width="14.81640625" style="9" bestFit="1" customWidth="1"/>
    <col min="41" max="71" width="11.453125" style="9"/>
    <col min="72" max="16384" width="11.453125" style="2"/>
  </cols>
  <sheetData>
    <row r="1" spans="1:71" s="4" customFormat="1" x14ac:dyDescent="0.35">
      <c r="A1" s="15" t="s">
        <v>32</v>
      </c>
      <c r="B1" s="15" t="s">
        <v>0</v>
      </c>
      <c r="D1" s="40"/>
      <c r="E1" s="40"/>
      <c r="F1" s="40"/>
      <c r="G1" s="40"/>
      <c r="H1" s="40"/>
      <c r="I1" s="118"/>
      <c r="J1" s="118"/>
      <c r="K1" s="118"/>
      <c r="L1" s="118"/>
      <c r="M1" s="118"/>
      <c r="N1" s="118"/>
      <c r="O1" s="40"/>
      <c r="P1" s="40"/>
      <c r="Q1" s="118"/>
      <c r="R1" s="118"/>
      <c r="S1" s="118"/>
      <c r="T1" s="118"/>
      <c r="U1" s="118"/>
      <c r="V1" s="118"/>
      <c r="W1" s="40"/>
      <c r="X1" s="118"/>
      <c r="Y1" s="40"/>
      <c r="Z1" s="40"/>
      <c r="AA1" s="118"/>
      <c r="AB1" s="118"/>
      <c r="AC1" s="118"/>
      <c r="AD1" s="118"/>
      <c r="AE1" s="40"/>
      <c r="AF1" s="118"/>
      <c r="AG1" s="40"/>
      <c r="AH1" s="40"/>
      <c r="AI1" s="118"/>
      <c r="AJ1" s="118"/>
      <c r="AK1" s="118"/>
      <c r="AL1" s="118"/>
      <c r="AM1" s="40"/>
      <c r="AN1" s="118"/>
      <c r="AO1" s="40"/>
      <c r="AP1" s="40"/>
      <c r="AQ1" s="118"/>
      <c r="AR1" s="40"/>
      <c r="AS1" s="118"/>
      <c r="AT1" s="118"/>
      <c r="AU1" s="40"/>
      <c r="AV1" s="118"/>
      <c r="AW1" s="40"/>
      <c r="AX1" s="40"/>
      <c r="AY1" s="118"/>
      <c r="AZ1" s="40"/>
      <c r="BA1" s="118"/>
      <c r="BB1" s="118"/>
      <c r="BC1" s="40"/>
      <c r="BD1" s="118"/>
      <c r="BE1" s="40"/>
      <c r="BF1" s="40"/>
      <c r="BG1" s="118"/>
      <c r="BH1" s="40"/>
      <c r="BI1" s="118"/>
      <c r="BJ1" s="118"/>
      <c r="BK1" s="40"/>
      <c r="BL1" s="118"/>
      <c r="BM1" s="40"/>
      <c r="BN1" s="40"/>
      <c r="BO1" s="118"/>
      <c r="BP1" s="40"/>
      <c r="BQ1" s="40"/>
      <c r="BR1" s="40"/>
      <c r="BS1" s="40"/>
    </row>
    <row r="2" spans="1:71" ht="15" thickBot="1" x14ac:dyDescent="0.4">
      <c r="A2" s="58" t="s">
        <v>82</v>
      </c>
      <c r="B2" s="6">
        <f ca="1">TODAY()</f>
        <v>44406</v>
      </c>
      <c r="E2" s="124"/>
      <c r="F2" s="124"/>
      <c r="G2" s="124"/>
      <c r="H2" s="124"/>
      <c r="I2" s="124"/>
      <c r="J2" s="124"/>
      <c r="K2" s="148"/>
      <c r="L2" s="148"/>
      <c r="M2" s="124"/>
      <c r="N2" s="124"/>
      <c r="O2" s="124"/>
      <c r="P2" s="124"/>
      <c r="Q2" s="124"/>
      <c r="R2" s="124"/>
      <c r="S2" s="148"/>
      <c r="T2" s="148"/>
      <c r="U2" s="124"/>
      <c r="V2" s="124"/>
      <c r="W2" s="124"/>
      <c r="X2" s="124"/>
      <c r="Y2" s="148"/>
      <c r="Z2" s="124"/>
      <c r="AA2" s="148"/>
      <c r="AB2" s="148"/>
      <c r="AC2" s="124"/>
      <c r="AD2" s="124"/>
      <c r="AE2" s="124"/>
      <c r="AF2" s="124"/>
      <c r="AG2" s="148"/>
      <c r="AH2" s="124"/>
      <c r="AI2" s="148"/>
      <c r="AJ2" s="148"/>
      <c r="AK2" s="124"/>
      <c r="AL2" s="124"/>
      <c r="AM2" s="124"/>
      <c r="AN2" s="124"/>
      <c r="AO2" s="148"/>
      <c r="AP2" s="124"/>
      <c r="AQ2" s="148"/>
      <c r="AR2" s="148"/>
      <c r="AS2" s="124"/>
      <c r="AT2" s="124"/>
      <c r="AU2" s="124"/>
      <c r="AV2" s="124"/>
      <c r="AW2" s="148"/>
      <c r="AX2" s="124"/>
      <c r="AY2" s="148"/>
      <c r="AZ2" s="148"/>
      <c r="BA2" s="124"/>
      <c r="BB2" s="124"/>
      <c r="BC2" s="124"/>
      <c r="BD2" s="124"/>
      <c r="BE2" s="148"/>
      <c r="BF2" s="124"/>
      <c r="BG2" s="148"/>
      <c r="BH2" s="148"/>
      <c r="BI2" s="124"/>
      <c r="BJ2" s="124"/>
      <c r="BK2" s="124"/>
      <c r="BL2" s="124"/>
      <c r="BM2" s="148"/>
      <c r="BN2" s="124"/>
      <c r="BO2" s="148"/>
      <c r="BP2" s="148"/>
    </row>
    <row r="3" spans="1:71" x14ac:dyDescent="0.35">
      <c r="A3" s="15" t="s">
        <v>65</v>
      </c>
      <c r="B3" s="5" t="s">
        <v>63</v>
      </c>
      <c r="D3" s="119"/>
      <c r="E3" s="120"/>
      <c r="F3" s="120"/>
      <c r="G3" s="120"/>
      <c r="H3" s="120"/>
      <c r="I3" s="120"/>
      <c r="J3" s="119"/>
      <c r="K3" s="121"/>
      <c r="L3" s="119"/>
      <c r="M3" s="120"/>
      <c r="N3" s="120"/>
      <c r="O3" s="120"/>
      <c r="P3" s="120"/>
      <c r="Q3" s="120"/>
      <c r="R3" s="119"/>
      <c r="S3" s="121"/>
      <c r="T3" s="119"/>
      <c r="U3" s="120"/>
      <c r="V3" s="120"/>
      <c r="W3" s="120"/>
      <c r="X3" s="120"/>
      <c r="Y3" s="120"/>
      <c r="Z3" s="119"/>
      <c r="AA3" s="121"/>
      <c r="AB3" s="119"/>
      <c r="AC3" s="120"/>
      <c r="AD3" s="120"/>
      <c r="AE3" s="120"/>
      <c r="AF3" s="120"/>
      <c r="AG3" s="120"/>
      <c r="AH3" s="119"/>
      <c r="AI3" s="121"/>
      <c r="AJ3" s="119"/>
      <c r="AK3" s="120"/>
      <c r="AL3" s="120"/>
      <c r="AM3" s="120"/>
      <c r="AN3" s="120"/>
      <c r="AO3" s="120"/>
      <c r="AP3" s="119"/>
      <c r="AQ3" s="121"/>
      <c r="AR3" s="119"/>
      <c r="AS3" s="120"/>
      <c r="AT3" s="120"/>
      <c r="AU3" s="120"/>
      <c r="AV3" s="120"/>
      <c r="AW3" s="120"/>
      <c r="AX3" s="119"/>
      <c r="AY3" s="121"/>
      <c r="AZ3" s="119"/>
      <c r="BA3" s="120"/>
      <c r="BB3" s="120"/>
      <c r="BC3" s="120"/>
      <c r="BD3" s="120"/>
      <c r="BE3" s="120"/>
      <c r="BF3" s="119"/>
      <c r="BG3" s="121"/>
      <c r="BH3" s="119"/>
      <c r="BI3" s="120"/>
      <c r="BJ3" s="120"/>
      <c r="BK3" s="120"/>
      <c r="BL3" s="120"/>
      <c r="BM3" s="120"/>
      <c r="BN3" s="119"/>
      <c r="BO3" s="121"/>
      <c r="BP3" s="119"/>
    </row>
    <row r="4" spans="1:71" ht="15" thickBot="1" x14ac:dyDescent="0.4">
      <c r="A4" s="58" t="s">
        <v>83</v>
      </c>
      <c r="B4" s="6">
        <f ca="1">WORKDAY(TODAY(),-1)</f>
        <v>44405</v>
      </c>
      <c r="D4" s="119"/>
      <c r="E4" s="120"/>
      <c r="F4" s="120"/>
      <c r="G4" s="120"/>
      <c r="H4" s="120"/>
      <c r="I4" s="120"/>
      <c r="J4" s="119"/>
      <c r="K4" s="121"/>
      <c r="L4" s="119"/>
      <c r="M4" s="120"/>
      <c r="N4" s="120"/>
      <c r="O4" s="120"/>
      <c r="P4" s="120"/>
      <c r="Q4" s="120"/>
      <c r="R4" s="119"/>
      <c r="S4" s="121"/>
      <c r="T4" s="119"/>
      <c r="U4" s="120"/>
      <c r="V4" s="120"/>
      <c r="W4" s="120"/>
      <c r="X4" s="120"/>
      <c r="Y4" s="120"/>
      <c r="Z4" s="119"/>
      <c r="AA4" s="121"/>
      <c r="AB4" s="119"/>
      <c r="AC4" s="120"/>
      <c r="AD4" s="120"/>
      <c r="AE4" s="120"/>
      <c r="AF4" s="120"/>
      <c r="AG4" s="120"/>
      <c r="AH4" s="119"/>
      <c r="AI4" s="121"/>
      <c r="AJ4" s="119"/>
      <c r="AK4" s="120"/>
      <c r="AL4" s="120"/>
      <c r="AM4" s="120"/>
      <c r="AN4" s="120"/>
      <c r="AO4" s="120"/>
      <c r="AP4" s="119"/>
      <c r="AQ4" s="121"/>
      <c r="AR4" s="119"/>
      <c r="AS4" s="120"/>
      <c r="AT4" s="120"/>
      <c r="AU4" s="120"/>
      <c r="AV4" s="120"/>
      <c r="AW4" s="120"/>
      <c r="AX4" s="119"/>
      <c r="AY4" s="121"/>
      <c r="AZ4" s="119"/>
      <c r="BA4" s="120"/>
      <c r="BB4" s="120"/>
      <c r="BC4" s="120"/>
      <c r="BD4" s="120"/>
      <c r="BE4" s="120"/>
      <c r="BF4" s="119"/>
      <c r="BG4" s="121"/>
      <c r="BH4" s="119"/>
      <c r="BI4" s="120"/>
      <c r="BJ4" s="120"/>
      <c r="BK4" s="120"/>
      <c r="BL4" s="120"/>
      <c r="BM4" s="120"/>
      <c r="BN4" s="119"/>
      <c r="BO4" s="121"/>
      <c r="BP4" s="119"/>
    </row>
    <row r="5" spans="1:71" x14ac:dyDescent="0.35">
      <c r="A5" s="2" t="s">
        <v>66</v>
      </c>
      <c r="B5" s="5" t="s">
        <v>22</v>
      </c>
      <c r="D5" s="119"/>
      <c r="E5" s="120"/>
      <c r="F5" s="120"/>
      <c r="G5" s="120"/>
      <c r="H5" s="120"/>
      <c r="I5" s="120"/>
      <c r="J5" s="119"/>
      <c r="K5" s="121"/>
      <c r="L5" s="119"/>
      <c r="M5" s="120"/>
      <c r="N5" s="120"/>
      <c r="O5" s="120"/>
      <c r="P5" s="120"/>
      <c r="Q5" s="120"/>
      <c r="R5" s="119"/>
      <c r="S5" s="121"/>
      <c r="T5" s="119"/>
      <c r="U5" s="120"/>
      <c r="V5" s="120"/>
      <c r="W5" s="120"/>
      <c r="X5" s="120"/>
      <c r="Y5" s="120"/>
      <c r="Z5" s="119"/>
      <c r="AA5" s="121"/>
      <c r="AB5" s="119"/>
      <c r="AC5" s="120"/>
      <c r="AD5" s="120"/>
      <c r="AE5" s="120"/>
      <c r="AF5" s="120"/>
      <c r="AG5" s="120"/>
      <c r="AH5" s="119"/>
      <c r="AI5" s="121"/>
      <c r="AJ5" s="119"/>
      <c r="AK5" s="120"/>
      <c r="AL5" s="120"/>
      <c r="AM5" s="120"/>
      <c r="AN5" s="120"/>
      <c r="AO5" s="120"/>
      <c r="AP5" s="119"/>
      <c r="AQ5" s="121"/>
      <c r="AR5" s="119"/>
      <c r="AS5" s="120"/>
      <c r="AT5" s="120"/>
      <c r="AU5" s="120"/>
      <c r="AV5" s="120"/>
      <c r="AW5" s="120"/>
      <c r="AX5" s="119"/>
      <c r="AY5" s="121"/>
      <c r="AZ5" s="119"/>
      <c r="BA5" s="120"/>
      <c r="BB5" s="120"/>
      <c r="BC5" s="120"/>
      <c r="BD5" s="120"/>
      <c r="BE5" s="120"/>
      <c r="BF5" s="119"/>
      <c r="BG5" s="121"/>
      <c r="BH5" s="119"/>
      <c r="BI5" s="120"/>
      <c r="BJ5" s="120"/>
      <c r="BK5" s="120"/>
      <c r="BL5" s="120"/>
      <c r="BM5" s="120"/>
      <c r="BN5" s="119"/>
      <c r="BO5" s="121"/>
      <c r="BP5" s="119"/>
    </row>
    <row r="6" spans="1:71" ht="15" thickBot="1" x14ac:dyDescent="0.4">
      <c r="A6" s="58" t="s">
        <v>84</v>
      </c>
      <c r="B6" s="58">
        <v>365</v>
      </c>
      <c r="D6" s="119"/>
      <c r="E6" s="120"/>
      <c r="F6" s="120"/>
      <c r="G6" s="120"/>
      <c r="H6" s="120"/>
      <c r="I6" s="120"/>
      <c r="J6" s="119"/>
      <c r="K6" s="121"/>
      <c r="L6" s="119"/>
      <c r="M6" s="120"/>
      <c r="N6" s="120"/>
      <c r="O6" s="120"/>
      <c r="P6" s="120"/>
      <c r="Q6" s="120"/>
      <c r="R6" s="119"/>
      <c r="S6" s="121"/>
      <c r="T6" s="119"/>
      <c r="U6" s="120"/>
      <c r="V6" s="120"/>
      <c r="W6" s="120"/>
      <c r="X6" s="120"/>
      <c r="Y6" s="120"/>
      <c r="Z6" s="119"/>
      <c r="AA6" s="121"/>
      <c r="AB6" s="119"/>
      <c r="AC6" s="120"/>
      <c r="AD6" s="120"/>
      <c r="AE6" s="120"/>
      <c r="AF6" s="120"/>
      <c r="AG6" s="120"/>
      <c r="AH6" s="119"/>
      <c r="AI6" s="121"/>
      <c r="AJ6" s="119"/>
      <c r="AK6" s="120"/>
      <c r="AL6" s="120"/>
      <c r="AM6" s="120"/>
      <c r="AN6" s="120"/>
      <c r="AO6" s="120"/>
      <c r="AP6" s="119"/>
      <c r="AQ6" s="121"/>
      <c r="AR6" s="119"/>
      <c r="AS6" s="120"/>
      <c r="AT6" s="120"/>
      <c r="AU6" s="120"/>
      <c r="AV6" s="120"/>
      <c r="AW6" s="120"/>
      <c r="AX6" s="119"/>
      <c r="AY6" s="121"/>
      <c r="AZ6" s="119"/>
      <c r="BA6" s="120"/>
      <c r="BB6" s="120"/>
      <c r="BC6" s="120"/>
      <c r="BD6" s="120"/>
      <c r="BE6" s="120"/>
      <c r="BF6" s="119"/>
      <c r="BG6" s="121"/>
      <c r="BH6" s="119"/>
      <c r="BI6" s="120"/>
      <c r="BJ6" s="120"/>
      <c r="BK6" s="120"/>
      <c r="BL6" s="120"/>
      <c r="BM6" s="120"/>
      <c r="BN6" s="119"/>
      <c r="BO6" s="121"/>
      <c r="BP6" s="119"/>
    </row>
    <row r="7" spans="1:71" x14ac:dyDescent="0.35">
      <c r="A7" s="5" t="s">
        <v>21</v>
      </c>
      <c r="B7" s="15"/>
      <c r="D7" s="119"/>
      <c r="E7" s="120"/>
      <c r="F7" s="120"/>
      <c r="G7" s="120"/>
      <c r="H7" s="120"/>
      <c r="I7" s="120"/>
      <c r="J7" s="119"/>
      <c r="K7" s="121"/>
      <c r="L7" s="119"/>
      <c r="M7" s="120"/>
      <c r="N7" s="120"/>
      <c r="O7" s="120"/>
      <c r="P7" s="120"/>
      <c r="Q7" s="120"/>
      <c r="R7" s="119"/>
      <c r="S7" s="121"/>
      <c r="T7" s="119"/>
      <c r="U7" s="120"/>
      <c r="V7" s="120"/>
      <c r="W7" s="120"/>
      <c r="X7" s="120"/>
      <c r="Y7" s="120"/>
      <c r="Z7" s="119"/>
      <c r="AA7" s="121"/>
      <c r="AB7" s="119"/>
      <c r="AC7" s="120"/>
      <c r="AD7" s="120"/>
      <c r="AE7" s="120"/>
      <c r="AF7" s="120"/>
      <c r="AG7" s="120"/>
      <c r="AH7" s="119"/>
      <c r="AI7" s="121"/>
      <c r="AJ7" s="119"/>
      <c r="AK7" s="120"/>
      <c r="AL7" s="120"/>
      <c r="AM7" s="120"/>
      <c r="AN7" s="120"/>
      <c r="AO7" s="120"/>
      <c r="AP7" s="119"/>
      <c r="AQ7" s="121"/>
      <c r="AR7" s="119"/>
      <c r="AS7" s="120"/>
      <c r="AT7" s="120"/>
      <c r="AU7" s="120"/>
      <c r="AV7" s="120"/>
      <c r="AW7" s="120"/>
      <c r="AX7" s="119"/>
      <c r="AY7" s="121"/>
      <c r="AZ7" s="119"/>
      <c r="BA7" s="120"/>
      <c r="BB7" s="120"/>
      <c r="BC7" s="120"/>
      <c r="BD7" s="120"/>
      <c r="BE7" s="120"/>
      <c r="BF7" s="119"/>
      <c r="BG7" s="121"/>
      <c r="BH7" s="119"/>
      <c r="BI7" s="120"/>
      <c r="BJ7" s="120"/>
      <c r="BK7" s="120"/>
      <c r="BL7" s="120"/>
      <c r="BM7" s="120"/>
      <c r="BN7" s="119"/>
      <c r="BO7" s="121"/>
      <c r="BP7" s="119"/>
    </row>
    <row r="8" spans="1:71" ht="15" thickBot="1" x14ac:dyDescent="0.4">
      <c r="A8" s="58" t="s">
        <v>81</v>
      </c>
      <c r="B8" s="3"/>
      <c r="D8" s="119"/>
      <c r="E8" s="120"/>
      <c r="F8" s="120"/>
      <c r="G8" s="120"/>
      <c r="H8" s="120"/>
      <c r="I8" s="120"/>
      <c r="J8" s="119"/>
      <c r="K8" s="121"/>
      <c r="L8" s="119"/>
      <c r="M8" s="120"/>
      <c r="N8" s="120"/>
      <c r="O8" s="120"/>
      <c r="P8" s="120"/>
      <c r="Q8" s="120"/>
      <c r="R8" s="119"/>
      <c r="S8" s="121"/>
      <c r="T8" s="119"/>
      <c r="U8" s="120"/>
      <c r="V8" s="120"/>
      <c r="W8" s="120"/>
      <c r="X8" s="120"/>
      <c r="Y8" s="120"/>
      <c r="Z8" s="119"/>
      <c r="AA8" s="121"/>
      <c r="AB8" s="119"/>
      <c r="AC8" s="120"/>
      <c r="AD8" s="120"/>
      <c r="AE8" s="120"/>
      <c r="AF8" s="120"/>
      <c r="AG8" s="120"/>
      <c r="AH8" s="119"/>
      <c r="AI8" s="121"/>
      <c r="AJ8" s="119"/>
      <c r="AK8" s="120"/>
      <c r="AL8" s="120"/>
      <c r="AM8" s="120"/>
      <c r="AN8" s="120"/>
      <c r="AO8" s="120"/>
      <c r="AP8" s="119"/>
      <c r="AQ8" s="121"/>
      <c r="AR8" s="119"/>
      <c r="AS8" s="120"/>
      <c r="AT8" s="120"/>
      <c r="AU8" s="120"/>
      <c r="AV8" s="120"/>
      <c r="AW8" s="120"/>
      <c r="AX8" s="119"/>
      <c r="AY8" s="121"/>
      <c r="AZ8" s="119"/>
      <c r="BA8" s="120"/>
      <c r="BB8" s="120"/>
      <c r="BC8" s="120"/>
      <c r="BD8" s="120"/>
      <c r="BE8" s="120"/>
      <c r="BF8" s="119"/>
      <c r="BG8" s="121"/>
      <c r="BH8" s="119"/>
      <c r="BI8" s="120"/>
      <c r="BJ8" s="120"/>
      <c r="BK8" s="120"/>
      <c r="BL8" s="120"/>
      <c r="BM8" s="120"/>
      <c r="BN8" s="119"/>
      <c r="BO8" s="121"/>
      <c r="BP8" s="119"/>
    </row>
    <row r="9" spans="1:71" ht="15" thickBot="1" x14ac:dyDescent="0.4">
      <c r="B9" s="7" t="s">
        <v>85</v>
      </c>
      <c r="C9" s="143">
        <f>_xll.RData(B9,"CF_CLOSE")</f>
        <v>4096.5</v>
      </c>
      <c r="D9" s="119"/>
      <c r="E9" s="120"/>
      <c r="F9" s="120"/>
      <c r="G9" s="120"/>
      <c r="H9" s="120"/>
      <c r="I9" s="120"/>
      <c r="J9" s="119"/>
      <c r="K9" s="121"/>
      <c r="L9" s="119"/>
      <c r="M9" s="120"/>
      <c r="N9" s="120"/>
      <c r="O9" s="120"/>
      <c r="P9" s="120"/>
      <c r="Q9" s="120"/>
      <c r="R9" s="119"/>
      <c r="S9" s="121"/>
      <c r="T9" s="119"/>
      <c r="U9" s="120"/>
      <c r="V9" s="120"/>
      <c r="W9" s="120"/>
      <c r="X9" s="120"/>
      <c r="Y9" s="120"/>
      <c r="Z9" s="119"/>
      <c r="AA9" s="121"/>
      <c r="AB9" s="119"/>
      <c r="AC9" s="120"/>
      <c r="AD9" s="120"/>
      <c r="AE9" s="120"/>
      <c r="AF9" s="120"/>
      <c r="AG9" s="120"/>
      <c r="AH9" s="119"/>
      <c r="AI9" s="121"/>
      <c r="AJ9" s="119"/>
      <c r="AK9" s="120"/>
      <c r="AL9" s="120"/>
      <c r="AM9" s="120"/>
      <c r="AN9" s="120"/>
      <c r="AO9" s="120"/>
      <c r="AP9" s="119"/>
      <c r="AQ9" s="121"/>
      <c r="AR9" s="119"/>
      <c r="AS9" s="120"/>
      <c r="AT9" s="120"/>
      <c r="AU9" s="120"/>
      <c r="AV9" s="120"/>
      <c r="AW9" s="120"/>
      <c r="AX9" s="119"/>
      <c r="AY9" s="121"/>
      <c r="AZ9" s="119"/>
      <c r="BA9" s="120"/>
      <c r="BB9" s="120"/>
      <c r="BC9" s="120"/>
      <c r="BD9" s="120"/>
      <c r="BE9" s="120"/>
      <c r="BF9" s="119"/>
      <c r="BG9" s="121"/>
      <c r="BH9" s="119"/>
      <c r="BI9" s="120"/>
      <c r="BJ9" s="120"/>
      <c r="BK9" s="120"/>
      <c r="BL9" s="120"/>
      <c r="BM9" s="120"/>
      <c r="BN9" s="119"/>
      <c r="BO9" s="121"/>
      <c r="BP9" s="119"/>
      <c r="BQ9" s="122"/>
      <c r="BR9" s="122"/>
    </row>
    <row r="10" spans="1:71" ht="15" thickBot="1" x14ac:dyDescent="0.4">
      <c r="B10" s="59" t="s">
        <v>86</v>
      </c>
      <c r="C10" s="143">
        <f>_xll.RData(B10,"CF_LAST")</f>
        <v>4117.9800000000005</v>
      </c>
      <c r="D10" s="119"/>
      <c r="E10" s="120"/>
      <c r="F10" s="120"/>
      <c r="G10" s="120"/>
      <c r="H10" s="120"/>
      <c r="I10" s="120"/>
      <c r="J10" s="119"/>
      <c r="K10" s="121"/>
      <c r="L10" s="119"/>
      <c r="M10" s="120"/>
      <c r="N10" s="120"/>
      <c r="O10" s="120"/>
      <c r="P10" s="120"/>
      <c r="Q10" s="120"/>
      <c r="R10" s="119"/>
      <c r="S10" s="121"/>
      <c r="T10" s="119"/>
      <c r="U10" s="120"/>
      <c r="V10" s="120"/>
      <c r="W10" s="120"/>
      <c r="X10" s="120"/>
      <c r="Y10" s="120"/>
      <c r="Z10" s="119"/>
      <c r="AA10" s="121"/>
      <c r="AB10" s="119"/>
      <c r="AC10" s="120"/>
      <c r="AD10" s="120"/>
      <c r="AE10" s="120"/>
      <c r="AF10" s="120"/>
      <c r="AG10" s="120"/>
      <c r="AH10" s="119"/>
      <c r="AI10" s="121"/>
      <c r="AJ10" s="119"/>
      <c r="AK10" s="120"/>
      <c r="AL10" s="120"/>
      <c r="AM10" s="120"/>
      <c r="AN10" s="120"/>
      <c r="AO10" s="120"/>
      <c r="AP10" s="119"/>
      <c r="AQ10" s="121"/>
      <c r="AR10" s="119"/>
      <c r="AS10" s="120"/>
      <c r="AT10" s="120"/>
      <c r="AU10" s="120"/>
      <c r="AV10" s="120"/>
      <c r="AW10" s="120"/>
      <c r="AX10" s="119"/>
      <c r="AY10" s="121"/>
      <c r="AZ10" s="119"/>
      <c r="BA10" s="120"/>
      <c r="BB10" s="120"/>
      <c r="BC10" s="120"/>
      <c r="BD10" s="120"/>
      <c r="BE10" s="120"/>
      <c r="BF10" s="119"/>
      <c r="BG10" s="121"/>
      <c r="BH10" s="119"/>
      <c r="BI10" s="120"/>
      <c r="BJ10" s="120"/>
      <c r="BK10" s="120"/>
      <c r="BL10" s="120"/>
      <c r="BM10" s="120"/>
      <c r="BN10" s="119"/>
      <c r="BO10" s="121"/>
      <c r="BP10" s="119"/>
      <c r="BQ10" s="122"/>
      <c r="BR10" s="122"/>
    </row>
    <row r="11" spans="1:71" ht="15" thickBot="1" x14ac:dyDescent="0.4">
      <c r="B11" s="37" t="s">
        <v>21</v>
      </c>
      <c r="C11" s="37">
        <f>IF($A$8="Fut",$C$9,SpotPrice)</f>
        <v>4096.5</v>
      </c>
      <c r="D11" s="119"/>
      <c r="E11" s="120"/>
      <c r="F11" s="120"/>
      <c r="G11" s="120"/>
      <c r="H11" s="120"/>
      <c r="I11" s="120"/>
      <c r="J11" s="119"/>
      <c r="K11" s="121"/>
      <c r="L11" s="119"/>
      <c r="M11" s="120"/>
      <c r="N11" s="120"/>
      <c r="O11" s="120"/>
      <c r="P11" s="120"/>
      <c r="Q11" s="120"/>
      <c r="R11" s="119"/>
      <c r="S11" s="121"/>
      <c r="T11" s="119"/>
      <c r="U11" s="120"/>
      <c r="V11" s="120"/>
      <c r="W11" s="120"/>
      <c r="X11" s="120"/>
      <c r="Y11" s="120"/>
      <c r="Z11" s="119"/>
      <c r="AA11" s="121"/>
      <c r="AB11" s="119"/>
      <c r="AC11" s="120"/>
      <c r="AD11" s="120"/>
      <c r="AE11" s="120"/>
      <c r="AF11" s="120"/>
      <c r="AG11" s="120"/>
      <c r="AH11" s="119"/>
      <c r="AI11" s="121"/>
      <c r="AJ11" s="119"/>
      <c r="AK11" s="120"/>
      <c r="AL11" s="120"/>
      <c r="AM11" s="120"/>
      <c r="AN11" s="120"/>
      <c r="AO11" s="120"/>
      <c r="AP11" s="119"/>
      <c r="AQ11" s="121"/>
      <c r="AR11" s="119"/>
      <c r="AS11" s="120"/>
      <c r="AT11" s="120"/>
      <c r="AU11" s="120"/>
      <c r="AV11" s="120"/>
      <c r="AW11" s="120"/>
      <c r="AX11" s="119"/>
      <c r="AY11" s="121"/>
      <c r="AZ11" s="119"/>
      <c r="BA11" s="120"/>
      <c r="BB11" s="120"/>
      <c r="BC11" s="120"/>
      <c r="BD11" s="120"/>
      <c r="BE11" s="120"/>
      <c r="BF11" s="119"/>
      <c r="BG11" s="121"/>
      <c r="BH11" s="119"/>
      <c r="BI11" s="120"/>
      <c r="BJ11" s="120"/>
      <c r="BK11" s="120"/>
      <c r="BL11" s="120"/>
      <c r="BM11" s="120"/>
      <c r="BN11" s="119"/>
      <c r="BO11" s="121"/>
      <c r="BP11" s="119"/>
      <c r="BQ11" s="122"/>
      <c r="BR11" s="122"/>
    </row>
    <row r="12" spans="1:71" ht="15" thickBot="1" x14ac:dyDescent="0.4">
      <c r="A12" s="9"/>
      <c r="B12" s="38" t="s">
        <v>64</v>
      </c>
      <c r="C12" s="144">
        <f>IF(A8="Fut",_xll.RData(B9,"CF_CLOSE"),_xll.RData(UnderlyingRic,"CF_CLOSE"))</f>
        <v>4096.5</v>
      </c>
      <c r="D12" s="119"/>
      <c r="E12" s="120"/>
      <c r="F12" s="120"/>
      <c r="G12" s="120"/>
      <c r="H12" s="120"/>
      <c r="I12" s="120"/>
      <c r="J12" s="119"/>
      <c r="K12" s="121"/>
      <c r="L12" s="119"/>
      <c r="M12" s="120"/>
      <c r="N12" s="120"/>
      <c r="O12" s="120"/>
      <c r="P12" s="120"/>
      <c r="Q12" s="120"/>
      <c r="R12" s="119"/>
      <c r="S12" s="121"/>
      <c r="T12" s="119"/>
      <c r="U12" s="120"/>
      <c r="V12" s="120"/>
      <c r="W12" s="120"/>
      <c r="X12" s="120"/>
      <c r="Y12" s="120"/>
      <c r="Z12" s="119"/>
      <c r="AA12" s="121"/>
      <c r="AB12" s="119"/>
      <c r="AC12" s="120"/>
      <c r="AD12" s="120"/>
      <c r="AE12" s="120"/>
      <c r="AF12" s="120"/>
      <c r="AG12" s="120"/>
      <c r="AH12" s="119"/>
      <c r="AI12" s="121"/>
      <c r="AJ12" s="119"/>
      <c r="AK12" s="120"/>
      <c r="AL12" s="120"/>
      <c r="AM12" s="120"/>
      <c r="AN12" s="120"/>
      <c r="AO12" s="120"/>
      <c r="AP12" s="119"/>
      <c r="AQ12" s="121"/>
      <c r="AR12" s="119"/>
      <c r="AS12" s="120"/>
      <c r="AT12" s="120"/>
      <c r="AU12" s="120"/>
      <c r="AV12" s="120"/>
      <c r="AW12" s="120"/>
      <c r="AX12" s="119"/>
      <c r="AY12" s="121"/>
      <c r="AZ12" s="119"/>
      <c r="BA12" s="120"/>
      <c r="BB12" s="120"/>
      <c r="BC12" s="120"/>
      <c r="BD12" s="120"/>
      <c r="BE12" s="120"/>
      <c r="BF12" s="119"/>
      <c r="BG12" s="121"/>
      <c r="BH12" s="119"/>
      <c r="BI12" s="120"/>
      <c r="BJ12" s="120"/>
      <c r="BK12" s="120"/>
      <c r="BL12" s="120"/>
      <c r="BM12" s="120"/>
      <c r="BN12" s="119"/>
      <c r="BO12" s="121"/>
      <c r="BP12" s="119"/>
      <c r="BQ12" s="122"/>
      <c r="BR12" s="122"/>
    </row>
    <row r="13" spans="1:71" x14ac:dyDescent="0.35">
      <c r="D13" s="119"/>
      <c r="E13" s="120"/>
      <c r="F13" s="120"/>
      <c r="G13" s="120"/>
      <c r="H13" s="120"/>
      <c r="I13" s="120"/>
      <c r="J13" s="119"/>
      <c r="K13" s="121"/>
      <c r="L13" s="119"/>
      <c r="M13" s="120"/>
      <c r="N13" s="120"/>
      <c r="O13" s="120"/>
      <c r="P13" s="120"/>
      <c r="Q13" s="120"/>
      <c r="R13" s="119"/>
      <c r="S13" s="121"/>
      <c r="T13" s="119"/>
      <c r="U13" s="120"/>
      <c r="V13" s="120"/>
      <c r="W13" s="120"/>
      <c r="X13" s="120"/>
      <c r="Y13" s="120"/>
      <c r="Z13" s="119"/>
      <c r="AA13" s="121"/>
      <c r="AB13" s="119"/>
      <c r="AC13" s="120"/>
      <c r="AD13" s="120"/>
      <c r="AE13" s="120"/>
      <c r="AF13" s="120"/>
      <c r="AG13" s="120"/>
      <c r="AH13" s="119"/>
      <c r="AI13" s="121"/>
      <c r="AJ13" s="119"/>
      <c r="AK13" s="120"/>
      <c r="AL13" s="120"/>
      <c r="AM13" s="120"/>
      <c r="AN13" s="120"/>
      <c r="AO13" s="120"/>
      <c r="AP13" s="119"/>
      <c r="AQ13" s="121"/>
      <c r="AR13" s="119"/>
      <c r="AS13" s="120"/>
      <c r="AT13" s="120"/>
      <c r="AU13" s="120"/>
      <c r="AV13" s="120"/>
      <c r="AW13" s="120"/>
      <c r="AX13" s="119"/>
      <c r="AY13" s="121"/>
      <c r="AZ13" s="119"/>
      <c r="BA13" s="120"/>
      <c r="BB13" s="120"/>
      <c r="BC13" s="120"/>
      <c r="BD13" s="120"/>
      <c r="BE13" s="120"/>
      <c r="BF13" s="119"/>
      <c r="BG13" s="121"/>
      <c r="BH13" s="119"/>
      <c r="BI13" s="120"/>
      <c r="BJ13" s="120"/>
      <c r="BK13" s="120"/>
      <c r="BL13" s="120"/>
      <c r="BM13" s="120"/>
      <c r="BN13" s="119"/>
      <c r="BO13" s="121"/>
      <c r="BP13" s="119"/>
      <c r="BQ13" s="122"/>
      <c r="BR13" s="122"/>
    </row>
    <row r="14" spans="1:71" x14ac:dyDescent="0.35">
      <c r="C14" s="4"/>
      <c r="D14" s="119"/>
      <c r="E14" s="120"/>
      <c r="F14" s="120"/>
      <c r="G14" s="120"/>
      <c r="H14" s="120"/>
      <c r="I14" s="120"/>
      <c r="J14" s="119"/>
      <c r="K14" s="121"/>
      <c r="L14" s="119"/>
      <c r="M14" s="120"/>
      <c r="N14" s="120"/>
      <c r="O14" s="120"/>
      <c r="P14" s="120"/>
      <c r="Q14" s="120"/>
      <c r="R14" s="119"/>
      <c r="S14" s="121"/>
      <c r="T14" s="119"/>
      <c r="U14" s="120"/>
      <c r="V14" s="120"/>
      <c r="W14" s="120"/>
      <c r="X14" s="120"/>
      <c r="Y14" s="120"/>
      <c r="Z14" s="119"/>
      <c r="AA14" s="121"/>
      <c r="AB14" s="119"/>
      <c r="AC14" s="120"/>
      <c r="AD14" s="120"/>
      <c r="AE14" s="120"/>
      <c r="AF14" s="120"/>
      <c r="AG14" s="120"/>
      <c r="AH14" s="119"/>
      <c r="AI14" s="121"/>
      <c r="AJ14" s="119"/>
      <c r="AK14" s="120"/>
      <c r="AL14" s="120"/>
      <c r="AM14" s="120"/>
      <c r="AN14" s="120"/>
      <c r="AO14" s="120"/>
      <c r="AP14" s="119"/>
      <c r="AQ14" s="121"/>
      <c r="AR14" s="119"/>
      <c r="AS14" s="120"/>
      <c r="AT14" s="120"/>
      <c r="AU14" s="120"/>
      <c r="AV14" s="120"/>
      <c r="AW14" s="120"/>
      <c r="AX14" s="119"/>
      <c r="AY14" s="121"/>
      <c r="AZ14" s="119"/>
      <c r="BA14" s="120"/>
      <c r="BB14" s="120"/>
      <c r="BC14" s="120"/>
      <c r="BD14" s="120"/>
      <c r="BE14" s="120"/>
      <c r="BF14" s="119"/>
      <c r="BG14" s="121"/>
      <c r="BH14" s="119"/>
      <c r="BI14" s="120"/>
      <c r="BJ14" s="120"/>
      <c r="BK14" s="120"/>
      <c r="BL14" s="120"/>
      <c r="BM14" s="120"/>
      <c r="BN14" s="119"/>
      <c r="BO14" s="121"/>
      <c r="BP14" s="119"/>
      <c r="BQ14" s="122"/>
      <c r="BR14" s="122"/>
    </row>
    <row r="15" spans="1:71" x14ac:dyDescent="0.35">
      <c r="A15" s="41"/>
      <c r="B15" s="2">
        <f>30/365</f>
        <v>8.2191780821917804E-2</v>
      </c>
      <c r="C15" s="4"/>
      <c r="D15" s="119"/>
      <c r="E15" s="120"/>
      <c r="F15" s="120"/>
      <c r="G15" s="120"/>
      <c r="H15" s="120"/>
      <c r="I15" s="120"/>
      <c r="J15" s="119"/>
      <c r="K15" s="121"/>
      <c r="L15" s="119"/>
      <c r="M15" s="120"/>
      <c r="N15" s="120"/>
      <c r="O15" s="120"/>
      <c r="P15" s="120"/>
      <c r="Q15" s="120"/>
      <c r="R15" s="119"/>
      <c r="S15" s="121"/>
      <c r="T15" s="119"/>
      <c r="U15" s="120"/>
      <c r="V15" s="120"/>
      <c r="W15" s="120"/>
      <c r="X15" s="120"/>
      <c r="Y15" s="120"/>
      <c r="Z15" s="119"/>
      <c r="AA15" s="121"/>
      <c r="AB15" s="119"/>
      <c r="AC15" s="120"/>
      <c r="AD15" s="120"/>
      <c r="AE15" s="120"/>
      <c r="AF15" s="120"/>
      <c r="AG15" s="120"/>
      <c r="AH15" s="119"/>
      <c r="AI15" s="121"/>
      <c r="AJ15" s="119"/>
      <c r="AK15" s="120"/>
      <c r="AL15" s="120"/>
      <c r="AM15" s="120"/>
      <c r="AN15" s="120"/>
      <c r="AO15" s="120"/>
      <c r="AP15" s="119"/>
      <c r="AQ15" s="121"/>
      <c r="AR15" s="119"/>
      <c r="AS15" s="120"/>
      <c r="AT15" s="120"/>
      <c r="AU15" s="120"/>
      <c r="AV15" s="120"/>
      <c r="AW15" s="120"/>
      <c r="AX15" s="119"/>
      <c r="AY15" s="121"/>
      <c r="AZ15" s="119"/>
      <c r="BA15" s="120"/>
      <c r="BB15" s="120"/>
      <c r="BC15" s="120"/>
      <c r="BD15" s="120"/>
      <c r="BE15" s="120"/>
      <c r="BF15" s="119"/>
      <c r="BG15" s="121"/>
      <c r="BH15" s="119"/>
      <c r="BI15" s="120"/>
      <c r="BJ15" s="120"/>
      <c r="BK15" s="120"/>
      <c r="BL15" s="120"/>
      <c r="BM15" s="120"/>
      <c r="BN15" s="119"/>
      <c r="BO15" s="121"/>
      <c r="BP15" s="119"/>
      <c r="BQ15" s="122"/>
      <c r="BR15" s="122"/>
    </row>
    <row r="16" spans="1:71" s="12" customFormat="1" x14ac:dyDescent="0.35">
      <c r="C16" s="89"/>
      <c r="D16" s="123"/>
      <c r="E16" s="124"/>
      <c r="F16" s="124"/>
      <c r="G16" s="124"/>
      <c r="H16" s="124"/>
      <c r="I16" s="124"/>
      <c r="J16" s="123"/>
      <c r="K16" s="125"/>
      <c r="L16" s="123"/>
      <c r="M16" s="124"/>
      <c r="N16" s="124"/>
      <c r="O16" s="124"/>
      <c r="P16" s="124"/>
      <c r="Q16" s="124"/>
      <c r="R16" s="123"/>
      <c r="S16" s="125"/>
      <c r="T16" s="123"/>
      <c r="U16" s="124"/>
      <c r="V16" s="124"/>
      <c r="W16" s="124"/>
      <c r="X16" s="124"/>
      <c r="Y16" s="124"/>
      <c r="Z16" s="123"/>
      <c r="AA16" s="125"/>
      <c r="AB16" s="119"/>
      <c r="AC16" s="124"/>
      <c r="AD16" s="124"/>
      <c r="AE16" s="124"/>
      <c r="AF16" s="124"/>
      <c r="AG16" s="124"/>
      <c r="AH16" s="123"/>
      <c r="AI16" s="125"/>
      <c r="AJ16" s="123"/>
      <c r="AK16" s="124"/>
      <c r="AL16" s="124"/>
      <c r="AM16" s="124"/>
      <c r="AN16" s="124"/>
      <c r="AO16" s="124"/>
      <c r="AP16" s="123"/>
      <c r="AQ16" s="125"/>
      <c r="AR16" s="123"/>
      <c r="AS16" s="124"/>
      <c r="AT16" s="124"/>
      <c r="AU16" s="120"/>
      <c r="AV16" s="124"/>
      <c r="AW16" s="124"/>
      <c r="AX16" s="123"/>
      <c r="AY16" s="125"/>
      <c r="AZ16" s="123"/>
      <c r="BA16" s="124"/>
      <c r="BB16" s="124"/>
      <c r="BC16" s="120"/>
      <c r="BD16" s="124"/>
      <c r="BE16" s="124"/>
      <c r="BF16" s="119"/>
      <c r="BG16" s="125"/>
      <c r="BH16" s="123"/>
      <c r="BI16" s="124"/>
      <c r="BJ16" s="124"/>
      <c r="BK16" s="120"/>
      <c r="BL16" s="124"/>
      <c r="BM16" s="124"/>
      <c r="BN16" s="119"/>
      <c r="BO16" s="125"/>
      <c r="BP16" s="123"/>
      <c r="BQ16" s="122"/>
      <c r="BR16" s="122"/>
      <c r="BS16" s="104"/>
    </row>
    <row r="17" spans="1:70" ht="15" thickBot="1" x14ac:dyDescent="0.4">
      <c r="C17" s="4"/>
      <c r="D17" s="119"/>
      <c r="E17" s="120"/>
      <c r="F17" s="120"/>
      <c r="G17" s="120"/>
      <c r="H17" s="120"/>
      <c r="I17" s="120"/>
      <c r="J17" s="119"/>
      <c r="K17" s="121"/>
      <c r="L17" s="119"/>
      <c r="M17" s="120"/>
      <c r="N17" s="120"/>
      <c r="O17" s="120"/>
      <c r="P17" s="120"/>
      <c r="Q17" s="120"/>
      <c r="R17" s="119"/>
      <c r="S17" s="121"/>
      <c r="T17" s="119"/>
      <c r="U17" s="120"/>
      <c r="V17" s="120"/>
      <c r="W17" s="120"/>
      <c r="X17" s="120"/>
      <c r="Y17" s="120"/>
      <c r="Z17" s="119"/>
      <c r="AA17" s="121"/>
      <c r="AB17" s="119"/>
      <c r="AC17" s="120"/>
      <c r="AD17" s="120"/>
      <c r="AE17" s="120"/>
      <c r="AF17" s="120"/>
      <c r="AG17" s="120"/>
      <c r="AH17" s="119"/>
      <c r="AI17" s="121"/>
      <c r="AJ17" s="119"/>
      <c r="AK17" s="120"/>
      <c r="AL17" s="120"/>
      <c r="AM17" s="120"/>
      <c r="AN17" s="120"/>
      <c r="AO17" s="120"/>
      <c r="AP17" s="119"/>
      <c r="AQ17" s="121"/>
      <c r="AR17" s="119"/>
      <c r="AS17" s="120"/>
      <c r="AT17" s="120"/>
      <c r="AU17" s="120"/>
      <c r="AV17" s="120"/>
      <c r="AW17" s="120"/>
      <c r="AX17" s="119"/>
      <c r="AY17" s="121"/>
      <c r="AZ17" s="119"/>
      <c r="BA17" s="120"/>
      <c r="BB17" s="120"/>
      <c r="BC17" s="120"/>
      <c r="BD17" s="120"/>
      <c r="BE17" s="120"/>
      <c r="BF17" s="119"/>
      <c r="BG17" s="121"/>
      <c r="BH17" s="119"/>
      <c r="BI17" s="120"/>
      <c r="BJ17" s="120"/>
      <c r="BK17" s="120"/>
      <c r="BL17" s="120"/>
      <c r="BM17" s="120"/>
      <c r="BN17" s="119"/>
      <c r="BO17" s="121"/>
      <c r="BP17" s="119"/>
      <c r="BQ17" s="122"/>
      <c r="BR17" s="122"/>
    </row>
    <row r="18" spans="1:70" ht="15" thickBot="1" x14ac:dyDescent="0.4">
      <c r="A18" s="5" t="s">
        <v>80</v>
      </c>
      <c r="B18" s="97" t="s">
        <v>62</v>
      </c>
      <c r="C18" s="17" t="s">
        <v>17</v>
      </c>
      <c r="D18" s="104"/>
      <c r="E18" s="120"/>
      <c r="F18" s="120"/>
      <c r="G18" s="120"/>
      <c r="H18" s="120"/>
      <c r="I18" s="120"/>
      <c r="J18" s="119"/>
      <c r="K18" s="121"/>
      <c r="L18" s="119"/>
      <c r="M18" s="120"/>
      <c r="N18" s="120"/>
      <c r="O18" s="120"/>
      <c r="P18" s="120"/>
      <c r="Q18" s="120"/>
      <c r="R18" s="119"/>
      <c r="S18" s="121"/>
      <c r="T18" s="119"/>
      <c r="U18" s="120"/>
      <c r="V18" s="120"/>
      <c r="W18" s="120"/>
      <c r="X18" s="120"/>
      <c r="Y18" s="120"/>
      <c r="Z18" s="119"/>
      <c r="AA18" s="121"/>
      <c r="AB18" s="119"/>
      <c r="AC18" s="120"/>
      <c r="AD18" s="120"/>
      <c r="AE18" s="120"/>
      <c r="AF18" s="120"/>
      <c r="AG18" s="120"/>
      <c r="AH18" s="119"/>
      <c r="AI18" s="121"/>
      <c r="AJ18" s="119"/>
      <c r="AK18" s="120"/>
      <c r="AL18" s="120"/>
      <c r="AM18" s="120"/>
      <c r="AN18" s="120"/>
      <c r="AO18" s="120"/>
      <c r="AP18" s="119"/>
      <c r="AQ18" s="121"/>
      <c r="AR18" s="119"/>
      <c r="AS18" s="120"/>
      <c r="AT18" s="120"/>
      <c r="AU18" s="120"/>
      <c r="AV18" s="120"/>
      <c r="AW18" s="120"/>
      <c r="AX18" s="119"/>
      <c r="AY18" s="121"/>
      <c r="AZ18" s="119"/>
      <c r="BA18" s="120"/>
      <c r="BB18" s="120"/>
      <c r="BC18" s="120"/>
      <c r="BD18" s="120"/>
      <c r="BE18" s="120"/>
      <c r="BF18" s="119"/>
      <c r="BG18" s="121"/>
      <c r="BH18" s="119"/>
      <c r="BI18" s="120"/>
      <c r="BJ18" s="120"/>
      <c r="BK18" s="120"/>
      <c r="BL18" s="120"/>
      <c r="BM18" s="120"/>
      <c r="BN18" s="119"/>
      <c r="BO18" s="121"/>
      <c r="BP18" s="119"/>
      <c r="BQ18" s="122"/>
      <c r="BR18" s="122"/>
    </row>
    <row r="19" spans="1:70" x14ac:dyDescent="0.35">
      <c r="A19" s="98" t="str">
        <f>VLOOKUP(MONTH(Expi1),$A$44:$D$56,4)</f>
        <v>Aug</v>
      </c>
      <c r="B19" s="110">
        <v>44428</v>
      </c>
      <c r="C19" s="169">
        <f ca="1">(Expi1-TodayDate)/Basis</f>
        <v>6.0273972602739728E-2</v>
      </c>
      <c r="D19" s="109"/>
      <c r="E19" s="120"/>
      <c r="F19" s="120"/>
      <c r="G19" s="120"/>
      <c r="H19" s="120"/>
      <c r="I19" s="120"/>
      <c r="J19" s="119"/>
      <c r="K19" s="121"/>
      <c r="L19" s="119"/>
      <c r="M19" s="120"/>
      <c r="N19" s="120"/>
      <c r="O19" s="120"/>
      <c r="P19" s="120"/>
      <c r="Q19" s="120"/>
      <c r="R19" s="119"/>
      <c r="S19" s="121"/>
      <c r="T19" s="119"/>
      <c r="U19" s="120"/>
      <c r="V19" s="120"/>
      <c r="W19" s="120"/>
      <c r="X19" s="120"/>
      <c r="Y19" s="120"/>
      <c r="Z19" s="119"/>
      <c r="AA19" s="121"/>
      <c r="AB19" s="119"/>
      <c r="AC19" s="120"/>
      <c r="AD19" s="120"/>
      <c r="AE19" s="120"/>
      <c r="AF19" s="120"/>
      <c r="AG19" s="120"/>
      <c r="AH19" s="119"/>
      <c r="AI19" s="121"/>
      <c r="AJ19" s="119"/>
      <c r="AK19" s="120"/>
      <c r="AL19" s="120"/>
      <c r="AM19" s="120"/>
      <c r="AN19" s="120"/>
      <c r="AO19" s="120"/>
      <c r="AP19" s="119"/>
      <c r="AQ19" s="121"/>
      <c r="AR19" s="119"/>
      <c r="AS19" s="120"/>
      <c r="AT19" s="120"/>
      <c r="AU19" s="120"/>
      <c r="AV19" s="120"/>
      <c r="AW19" s="120"/>
      <c r="AX19" s="119"/>
      <c r="AY19" s="121"/>
      <c r="AZ19" s="119"/>
      <c r="BA19" s="120"/>
      <c r="BB19" s="120"/>
      <c r="BC19" s="120"/>
      <c r="BD19" s="120"/>
      <c r="BE19" s="120"/>
      <c r="BF19" s="119"/>
      <c r="BG19" s="121"/>
      <c r="BH19" s="119"/>
      <c r="BI19" s="120"/>
      <c r="BJ19" s="120"/>
      <c r="BK19" s="120"/>
      <c r="BL19" s="120"/>
      <c r="BM19" s="120"/>
      <c r="BN19" s="119"/>
      <c r="BO19" s="121"/>
      <c r="BP19" s="119"/>
      <c r="BQ19" s="122"/>
      <c r="BR19" s="122"/>
    </row>
    <row r="20" spans="1:70" x14ac:dyDescent="0.35">
      <c r="A20" s="99" t="str">
        <f>VLOOKUP(MONTH(Expi2),$A$44:$D$56,4)</f>
        <v>Sep</v>
      </c>
      <c r="B20" s="108">
        <v>44456</v>
      </c>
      <c r="C20" s="170">
        <f ca="1">(Expi2-TodayDate)/Basis</f>
        <v>0.13698630136986301</v>
      </c>
      <c r="D20" s="109"/>
      <c r="E20" s="120"/>
      <c r="F20" s="120"/>
      <c r="G20" s="120"/>
      <c r="H20" s="120"/>
      <c r="I20" s="120"/>
      <c r="J20" s="119"/>
      <c r="K20" s="121"/>
      <c r="L20" s="119"/>
      <c r="M20" s="120"/>
      <c r="N20" s="120"/>
      <c r="O20" s="120"/>
      <c r="P20" s="120"/>
      <c r="Q20" s="120"/>
      <c r="R20" s="119"/>
      <c r="S20" s="121"/>
      <c r="T20" s="119"/>
      <c r="U20" s="120"/>
      <c r="V20" s="120"/>
      <c r="W20" s="120"/>
      <c r="X20" s="120"/>
      <c r="Y20" s="120"/>
      <c r="Z20" s="119"/>
      <c r="AA20" s="121"/>
      <c r="AB20" s="119"/>
      <c r="AC20" s="120"/>
      <c r="AD20" s="120"/>
      <c r="AE20" s="120"/>
      <c r="AF20" s="120"/>
      <c r="AG20" s="120"/>
      <c r="AH20" s="119"/>
      <c r="AI20" s="121"/>
      <c r="AJ20" s="119"/>
      <c r="AK20" s="120"/>
      <c r="AL20" s="120"/>
      <c r="AM20" s="120"/>
      <c r="AN20" s="120"/>
      <c r="AO20" s="120"/>
      <c r="AP20" s="119"/>
      <c r="AQ20" s="121"/>
      <c r="AR20" s="119"/>
      <c r="AS20" s="120"/>
      <c r="AT20" s="120"/>
      <c r="AU20" s="120"/>
      <c r="AV20" s="120"/>
      <c r="AW20" s="120"/>
      <c r="AX20" s="119"/>
      <c r="AY20" s="121"/>
      <c r="AZ20" s="119"/>
      <c r="BA20" s="120"/>
      <c r="BB20" s="120"/>
      <c r="BC20" s="120"/>
      <c r="BD20" s="120"/>
      <c r="BE20" s="120"/>
      <c r="BF20" s="119"/>
      <c r="BG20" s="121"/>
      <c r="BH20" s="119"/>
      <c r="BI20" s="120"/>
      <c r="BJ20" s="120"/>
      <c r="BK20" s="120"/>
      <c r="BL20" s="120"/>
      <c r="BM20" s="120"/>
      <c r="BN20" s="119"/>
      <c r="BO20" s="121"/>
      <c r="BP20" s="119"/>
      <c r="BQ20" s="122"/>
      <c r="BR20" s="122"/>
    </row>
    <row r="21" spans="1:70" x14ac:dyDescent="0.35">
      <c r="A21" s="99" t="str">
        <f>VLOOKUP(MONTH(Expi3),$A$44:$D$56,4)</f>
        <v>Dec</v>
      </c>
      <c r="B21" s="108">
        <v>42720</v>
      </c>
      <c r="C21" s="170">
        <f ca="1">(Expi3-TodayDate)/Basis</f>
        <v>-4.6191780821917812</v>
      </c>
      <c r="F21" s="120"/>
      <c r="G21" s="120"/>
      <c r="H21" s="120"/>
      <c r="I21" s="120"/>
      <c r="J21" s="119"/>
      <c r="K21" s="121"/>
      <c r="L21" s="119"/>
      <c r="M21" s="120"/>
      <c r="N21" s="120"/>
      <c r="O21" s="120"/>
      <c r="P21" s="120"/>
      <c r="Q21" s="120"/>
      <c r="R21" s="119"/>
      <c r="S21" s="121"/>
      <c r="T21" s="119"/>
      <c r="U21" s="120"/>
      <c r="V21" s="120"/>
      <c r="W21" s="120"/>
      <c r="X21" s="120"/>
      <c r="Y21" s="120"/>
      <c r="Z21" s="119"/>
      <c r="AA21" s="121"/>
      <c r="AB21" s="119"/>
      <c r="AC21" s="120"/>
      <c r="AD21" s="120"/>
      <c r="AE21" s="120"/>
      <c r="AF21" s="120"/>
      <c r="AG21" s="120"/>
      <c r="AH21" s="119"/>
      <c r="AI21" s="121"/>
      <c r="AJ21" s="119"/>
      <c r="AK21" s="120"/>
      <c r="AL21" s="120"/>
      <c r="AM21" s="120"/>
      <c r="AN21" s="120"/>
      <c r="AO21" s="120"/>
      <c r="AP21" s="119"/>
      <c r="AQ21" s="121"/>
      <c r="AR21" s="119"/>
      <c r="AS21" s="120"/>
      <c r="AT21" s="120"/>
      <c r="AU21" s="120"/>
      <c r="AV21" s="120"/>
      <c r="AW21" s="120"/>
      <c r="AX21" s="119"/>
      <c r="AY21" s="121"/>
      <c r="AZ21" s="119"/>
      <c r="BA21" s="120"/>
      <c r="BB21" s="120"/>
      <c r="BC21" s="120"/>
      <c r="BD21" s="120"/>
      <c r="BE21" s="120"/>
      <c r="BF21" s="119"/>
      <c r="BG21" s="121"/>
      <c r="BH21" s="119"/>
      <c r="BI21" s="120"/>
      <c r="BJ21" s="120"/>
      <c r="BK21" s="120"/>
      <c r="BL21" s="120"/>
      <c r="BM21" s="120"/>
      <c r="BN21" s="119"/>
      <c r="BO21" s="121"/>
      <c r="BP21" s="119"/>
      <c r="BQ21" s="122"/>
      <c r="BR21" s="122"/>
    </row>
    <row r="22" spans="1:70" x14ac:dyDescent="0.35">
      <c r="A22" s="99" t="str">
        <f>VLOOKUP(MONTH(Expi4),$A$44:$D$56,4)</f>
        <v>Mar</v>
      </c>
      <c r="B22" s="108">
        <v>42811</v>
      </c>
      <c r="C22" s="170">
        <f ca="1">(Expi4-TodayDate)/Basis</f>
        <v>-4.3698630136986303</v>
      </c>
      <c r="D22" s="120"/>
      <c r="E22" s="120"/>
      <c r="F22" s="120"/>
      <c r="G22" s="120"/>
      <c r="H22" s="120"/>
      <c r="I22" s="120"/>
      <c r="J22" s="119"/>
      <c r="K22" s="121"/>
      <c r="L22" s="119"/>
      <c r="M22" s="120"/>
      <c r="N22" s="120"/>
      <c r="O22" s="120"/>
      <c r="P22" s="120"/>
      <c r="Q22" s="120"/>
      <c r="R22" s="119"/>
      <c r="S22" s="121"/>
      <c r="T22" s="119"/>
      <c r="U22" s="120"/>
      <c r="V22" s="120"/>
      <c r="W22" s="120"/>
      <c r="X22" s="120"/>
      <c r="Y22" s="120"/>
      <c r="Z22" s="119"/>
      <c r="AA22" s="121"/>
      <c r="AB22" s="119"/>
      <c r="AC22" s="120"/>
      <c r="AD22" s="120"/>
      <c r="AE22" s="120"/>
      <c r="AF22" s="120"/>
      <c r="AG22" s="120"/>
      <c r="AH22" s="119"/>
      <c r="AI22" s="121"/>
      <c r="AJ22" s="119"/>
      <c r="AK22" s="120"/>
      <c r="AL22" s="120"/>
      <c r="AM22" s="120"/>
      <c r="AN22" s="120"/>
      <c r="AO22" s="120"/>
      <c r="AP22" s="119"/>
      <c r="AQ22" s="121"/>
      <c r="AR22" s="119"/>
      <c r="AS22" s="120"/>
      <c r="AT22" s="120"/>
      <c r="AU22" s="120"/>
      <c r="AV22" s="120"/>
      <c r="AW22" s="120"/>
      <c r="AX22" s="119"/>
      <c r="AY22" s="121"/>
      <c r="AZ22" s="119"/>
      <c r="BA22" s="120"/>
      <c r="BB22" s="120"/>
      <c r="BC22" s="120"/>
      <c r="BD22" s="120"/>
      <c r="BE22" s="120"/>
      <c r="BF22" s="119"/>
      <c r="BG22" s="121"/>
      <c r="BH22" s="119"/>
      <c r="BI22" s="120"/>
      <c r="BJ22" s="120"/>
      <c r="BK22" s="120"/>
      <c r="BL22" s="120"/>
      <c r="BM22" s="120"/>
      <c r="BN22" s="119"/>
      <c r="BO22" s="121"/>
      <c r="BP22" s="119"/>
      <c r="BQ22" s="122"/>
      <c r="BR22" s="122"/>
    </row>
    <row r="23" spans="1:70" x14ac:dyDescent="0.35">
      <c r="A23" s="99" t="str">
        <f>VLOOKUP(MONTH(Expi5),$A$44:$D$56,4)</f>
        <v>Mar</v>
      </c>
      <c r="B23" s="108">
        <v>42811</v>
      </c>
      <c r="C23" s="170">
        <f ca="1">(Expi5-TodayDate)/Basis</f>
        <v>-4.3698630136986303</v>
      </c>
      <c r="D23" s="109"/>
      <c r="E23" s="120"/>
      <c r="F23" s="167"/>
      <c r="G23" s="120"/>
      <c r="H23" s="120"/>
      <c r="I23" s="120"/>
      <c r="J23" s="119"/>
      <c r="K23" s="121"/>
      <c r="L23" s="119"/>
      <c r="M23" s="120"/>
      <c r="N23" s="120"/>
      <c r="O23" s="120"/>
      <c r="P23" s="120"/>
      <c r="Q23" s="120"/>
      <c r="R23" s="119"/>
      <c r="S23" s="121"/>
      <c r="T23" s="119"/>
      <c r="U23" s="120"/>
      <c r="V23" s="120"/>
      <c r="W23" s="120"/>
      <c r="X23" s="120"/>
      <c r="Y23" s="120"/>
      <c r="Z23" s="119"/>
      <c r="AA23" s="121"/>
      <c r="AB23" s="119"/>
      <c r="AC23" s="120"/>
      <c r="AD23" s="120"/>
      <c r="AE23" s="120"/>
      <c r="AF23" s="120"/>
      <c r="AG23" s="120"/>
      <c r="AH23" s="119"/>
      <c r="AI23" s="121"/>
      <c r="AJ23" s="119"/>
      <c r="AK23" s="120"/>
      <c r="AL23" s="120"/>
      <c r="AM23" s="120"/>
      <c r="AN23" s="120"/>
      <c r="AO23" s="120"/>
      <c r="AP23" s="119"/>
      <c r="AQ23" s="121"/>
      <c r="AR23" s="119"/>
      <c r="AS23" s="120"/>
      <c r="AT23" s="120"/>
      <c r="AU23" s="120"/>
      <c r="AV23" s="120"/>
      <c r="AW23" s="120"/>
      <c r="AX23" s="119"/>
      <c r="AY23" s="121"/>
      <c r="AZ23" s="119"/>
      <c r="BA23" s="120"/>
      <c r="BB23" s="120"/>
      <c r="BC23" s="120"/>
      <c r="BD23" s="120"/>
      <c r="BE23" s="120"/>
      <c r="BF23" s="119"/>
      <c r="BG23" s="121"/>
      <c r="BH23" s="119"/>
      <c r="BI23" s="120"/>
      <c r="BJ23" s="120"/>
      <c r="BK23" s="120"/>
      <c r="BL23" s="120"/>
      <c r="BM23" s="120"/>
      <c r="BN23" s="119"/>
      <c r="BO23" s="121"/>
      <c r="BP23" s="119"/>
      <c r="BQ23" s="122"/>
      <c r="BR23" s="122"/>
    </row>
    <row r="24" spans="1:70" x14ac:dyDescent="0.35">
      <c r="A24" s="99" t="str">
        <f>VLOOKUP(MONTH(Expi6),$A$44:$D$56,4)</f>
        <v>Jun</v>
      </c>
      <c r="B24" s="108">
        <v>42902</v>
      </c>
      <c r="C24" s="170">
        <f ca="1">(Expi6-TodayDate)/Basis</f>
        <v>-4.1205479452054794</v>
      </c>
      <c r="D24" s="119"/>
      <c r="E24" s="120"/>
      <c r="F24" s="120"/>
      <c r="G24" s="120"/>
      <c r="H24" s="120"/>
      <c r="I24" s="120"/>
      <c r="J24" s="119"/>
      <c r="K24" s="121"/>
      <c r="L24" s="119"/>
      <c r="M24" s="120"/>
      <c r="N24" s="120"/>
      <c r="O24" s="120"/>
      <c r="P24" s="120"/>
      <c r="Q24" s="120"/>
      <c r="R24" s="119"/>
      <c r="S24" s="121"/>
      <c r="T24" s="119"/>
      <c r="U24" s="120"/>
      <c r="V24" s="120"/>
      <c r="W24" s="120"/>
      <c r="X24" s="120"/>
      <c r="Y24" s="120"/>
      <c r="Z24" s="119"/>
      <c r="AA24" s="121"/>
      <c r="AB24" s="119"/>
      <c r="AC24" s="120"/>
      <c r="AD24" s="120"/>
      <c r="AE24" s="120"/>
      <c r="AF24" s="120"/>
      <c r="AG24" s="120"/>
      <c r="AH24" s="119"/>
      <c r="AI24" s="121"/>
      <c r="AJ24" s="119"/>
      <c r="AK24" s="120"/>
      <c r="AL24" s="120"/>
      <c r="AM24" s="120"/>
      <c r="AN24" s="120"/>
      <c r="AO24" s="120"/>
      <c r="AP24" s="119"/>
      <c r="AQ24" s="121"/>
      <c r="AR24" s="119"/>
      <c r="AS24" s="120"/>
      <c r="AT24" s="120"/>
      <c r="AU24" s="120"/>
      <c r="AV24" s="120"/>
      <c r="AW24" s="120"/>
      <c r="AX24" s="119"/>
      <c r="AY24" s="121"/>
      <c r="AZ24" s="119"/>
      <c r="BA24" s="120"/>
      <c r="BB24" s="120"/>
      <c r="BC24" s="120"/>
      <c r="BD24" s="120"/>
      <c r="BE24" s="120"/>
      <c r="BF24" s="119"/>
      <c r="BG24" s="121"/>
      <c r="BH24" s="119"/>
      <c r="BI24" s="120"/>
      <c r="BJ24" s="120"/>
      <c r="BK24" s="120"/>
      <c r="BL24" s="120"/>
      <c r="BM24" s="120"/>
      <c r="BN24" s="119"/>
      <c r="BO24" s="121"/>
      <c r="BP24" s="119"/>
      <c r="BQ24" s="122"/>
      <c r="BR24" s="122"/>
    </row>
    <row r="25" spans="1:70" x14ac:dyDescent="0.35">
      <c r="A25" s="99" t="str">
        <f>VLOOKUP(MONTH(Expi7),$A$44:$D$56,4)</f>
        <v>Jun</v>
      </c>
      <c r="B25" s="108">
        <v>42902</v>
      </c>
      <c r="C25" s="170">
        <f ca="1">(Expi7-TodayDate)/Basis</f>
        <v>-4.1205479452054794</v>
      </c>
      <c r="D25" s="119"/>
      <c r="E25" s="120"/>
      <c r="F25" s="120"/>
      <c r="G25" s="120"/>
      <c r="H25" s="120"/>
      <c r="I25" s="120"/>
      <c r="J25" s="119"/>
      <c r="K25" s="121"/>
      <c r="L25" s="119"/>
      <c r="M25" s="120"/>
      <c r="N25" s="120"/>
      <c r="O25" s="120"/>
      <c r="P25" s="120"/>
      <c r="Q25" s="120"/>
      <c r="R25" s="119"/>
      <c r="S25" s="121"/>
      <c r="T25" s="119"/>
      <c r="U25" s="120"/>
      <c r="V25" s="120"/>
      <c r="W25" s="120"/>
      <c r="X25" s="120"/>
      <c r="Y25" s="120"/>
      <c r="Z25" s="119"/>
      <c r="AA25" s="121"/>
      <c r="AB25" s="119"/>
      <c r="AC25" s="120"/>
      <c r="AD25" s="120"/>
      <c r="AE25" s="120"/>
      <c r="AF25" s="120"/>
      <c r="AG25" s="120"/>
      <c r="AH25" s="119"/>
      <c r="AI25" s="121"/>
      <c r="AJ25" s="119"/>
      <c r="AK25" s="120"/>
      <c r="AL25" s="120"/>
      <c r="AM25" s="120"/>
      <c r="AN25" s="120"/>
      <c r="AO25" s="120"/>
      <c r="AP25" s="119"/>
      <c r="AQ25" s="121"/>
      <c r="AR25" s="119"/>
      <c r="AS25" s="120"/>
      <c r="AT25" s="120"/>
      <c r="AU25" s="120"/>
      <c r="AV25" s="120"/>
      <c r="AW25" s="120"/>
      <c r="AX25" s="119"/>
      <c r="AY25" s="121"/>
      <c r="AZ25" s="119"/>
      <c r="BA25" s="120"/>
      <c r="BB25" s="120"/>
      <c r="BC25" s="120"/>
      <c r="BD25" s="120"/>
      <c r="BE25" s="120"/>
      <c r="BF25" s="119"/>
      <c r="BG25" s="121"/>
      <c r="BH25" s="119"/>
      <c r="BI25" s="120"/>
      <c r="BJ25" s="120"/>
      <c r="BK25" s="120"/>
      <c r="BL25" s="120"/>
      <c r="BM25" s="120"/>
      <c r="BN25" s="119"/>
      <c r="BO25" s="121"/>
      <c r="BP25" s="119"/>
      <c r="BQ25" s="122"/>
      <c r="BR25" s="122"/>
    </row>
    <row r="26" spans="1:70" ht="15" thickBot="1" x14ac:dyDescent="0.4">
      <c r="A26" s="100" t="str">
        <f>VLOOKUP(MONTH(Expi8),$A$44:$D$56,4)</f>
        <v>Jun</v>
      </c>
      <c r="B26" s="111">
        <v>42902</v>
      </c>
      <c r="C26" s="171">
        <f ca="1">(Expi8-TodayDate)/Basis</f>
        <v>-4.1205479452054794</v>
      </c>
      <c r="D26" s="119"/>
      <c r="E26" s="120"/>
      <c r="F26" s="120"/>
      <c r="G26" s="120"/>
      <c r="H26" s="120"/>
      <c r="I26" s="120"/>
      <c r="J26" s="119"/>
      <c r="K26" s="121"/>
      <c r="L26" s="119"/>
      <c r="M26" s="120"/>
      <c r="N26" s="120"/>
      <c r="O26" s="120"/>
      <c r="P26" s="120"/>
      <c r="Q26" s="120"/>
      <c r="R26" s="119"/>
      <c r="S26" s="121"/>
      <c r="T26" s="119"/>
      <c r="U26" s="120"/>
      <c r="V26" s="120"/>
      <c r="W26" s="120"/>
      <c r="X26" s="120"/>
      <c r="Y26" s="120"/>
      <c r="Z26" s="119"/>
      <c r="AA26" s="121"/>
      <c r="AB26" s="119"/>
      <c r="AC26" s="120"/>
      <c r="AD26" s="120"/>
      <c r="AE26" s="120"/>
      <c r="AF26" s="120"/>
      <c r="AG26" s="120"/>
      <c r="AH26" s="119"/>
      <c r="AI26" s="121"/>
      <c r="AJ26" s="119"/>
      <c r="AK26" s="120"/>
      <c r="AL26" s="120"/>
      <c r="AM26" s="120"/>
      <c r="AN26" s="120"/>
      <c r="AO26" s="120"/>
      <c r="AP26" s="119"/>
      <c r="AQ26" s="121"/>
      <c r="AR26" s="119"/>
      <c r="AS26" s="120"/>
      <c r="AT26" s="120"/>
      <c r="AU26" s="120"/>
      <c r="AV26" s="120"/>
      <c r="AW26" s="120"/>
      <c r="AX26" s="119"/>
      <c r="AY26" s="121"/>
      <c r="AZ26" s="119"/>
      <c r="BA26" s="120"/>
      <c r="BB26" s="120"/>
      <c r="BC26" s="120"/>
      <c r="BD26" s="120"/>
      <c r="BE26" s="120"/>
      <c r="BF26" s="119"/>
      <c r="BG26" s="121"/>
      <c r="BH26" s="119"/>
      <c r="BI26" s="120"/>
      <c r="BJ26" s="120"/>
      <c r="BK26" s="120"/>
      <c r="BL26" s="120"/>
      <c r="BM26" s="120"/>
      <c r="BN26" s="119"/>
      <c r="BO26" s="121"/>
      <c r="BP26" s="119"/>
      <c r="BQ26" s="122"/>
      <c r="BR26" s="122"/>
    </row>
    <row r="27" spans="1:70" ht="15" thickBot="1" x14ac:dyDescent="0.4">
      <c r="C27" s="1"/>
      <c r="E27" s="120"/>
      <c r="F27" s="120"/>
      <c r="G27" s="120"/>
      <c r="H27" s="120"/>
      <c r="I27" s="120"/>
      <c r="J27" s="120"/>
      <c r="K27" s="121"/>
      <c r="L27" s="121"/>
      <c r="M27" s="120"/>
      <c r="N27" s="120"/>
      <c r="O27" s="120"/>
      <c r="P27" s="120"/>
      <c r="Q27" s="120"/>
      <c r="R27" s="120"/>
      <c r="S27" s="121"/>
      <c r="T27" s="121"/>
      <c r="U27" s="120"/>
      <c r="V27" s="120"/>
      <c r="W27" s="120"/>
      <c r="X27" s="120"/>
      <c r="Y27" s="120"/>
      <c r="Z27" s="120"/>
      <c r="AA27" s="121"/>
      <c r="AB27" s="121"/>
      <c r="AC27" s="120"/>
      <c r="AD27" s="120"/>
      <c r="AE27" s="120"/>
      <c r="AF27" s="120"/>
      <c r="AG27" s="120"/>
      <c r="AH27" s="120"/>
      <c r="AI27" s="121"/>
      <c r="AJ27" s="121"/>
      <c r="AK27" s="120"/>
      <c r="AL27" s="120"/>
      <c r="AM27" s="120"/>
      <c r="AN27" s="120"/>
      <c r="AO27" s="120"/>
      <c r="AP27" s="120"/>
      <c r="AQ27" s="121"/>
    </row>
    <row r="28" spans="1:70" ht="15" thickBot="1" x14ac:dyDescent="0.4">
      <c r="A28" s="5" t="s">
        <v>171</v>
      </c>
      <c r="B28" s="97" t="s">
        <v>62</v>
      </c>
      <c r="C28" s="105" t="s">
        <v>17</v>
      </c>
      <c r="E28" s="120"/>
      <c r="F28" s="120"/>
      <c r="G28" s="120"/>
      <c r="H28" s="120"/>
      <c r="I28" s="120"/>
      <c r="J28" s="120"/>
      <c r="K28" s="121"/>
      <c r="L28" s="121"/>
      <c r="M28" s="120"/>
      <c r="N28" s="120"/>
      <c r="O28" s="120"/>
      <c r="P28" s="120"/>
      <c r="Q28" s="120"/>
      <c r="R28" s="120"/>
      <c r="S28" s="121"/>
      <c r="T28" s="121"/>
      <c r="U28" s="120"/>
      <c r="V28" s="120"/>
      <c r="W28" s="120"/>
      <c r="X28" s="120"/>
      <c r="Y28" s="120"/>
      <c r="Z28" s="120"/>
      <c r="AA28" s="121"/>
      <c r="AB28" s="121"/>
      <c r="AC28" s="120"/>
      <c r="AD28" s="120"/>
      <c r="AE28" s="120"/>
      <c r="AF28" s="120"/>
      <c r="AG28" s="120"/>
      <c r="AH28" s="120"/>
      <c r="AI28" s="121"/>
      <c r="AJ28" s="121"/>
      <c r="AK28" s="120"/>
      <c r="AL28" s="120"/>
      <c r="AM28" s="120"/>
      <c r="AN28" s="120"/>
      <c r="AO28" s="120"/>
      <c r="AP28" s="120"/>
      <c r="AQ28" s="121"/>
    </row>
    <row r="29" spans="1:70" s="9" customFormat="1" x14ac:dyDescent="0.35">
      <c r="A29" s="145" t="str">
        <f>VLOOKUP(MONTH(ExpiFX1),$A$44:$D$56,4)</f>
        <v>Jul</v>
      </c>
      <c r="B29" s="110">
        <v>42187</v>
      </c>
      <c r="C29" s="145">
        <f t="shared" ref="C29:C35" ca="1" si="0">(B29-TodayDate)/Basis</f>
        <v>-6.0794520547945208</v>
      </c>
      <c r="E29" s="120"/>
      <c r="F29" s="120"/>
      <c r="G29" s="120"/>
      <c r="H29" s="120"/>
      <c r="I29" s="120"/>
      <c r="J29" s="120"/>
      <c r="K29" s="121"/>
      <c r="L29" s="121"/>
      <c r="M29" s="120"/>
      <c r="N29" s="120"/>
      <c r="O29" s="120"/>
      <c r="P29" s="120"/>
      <c r="Q29" s="120"/>
      <c r="R29" s="120"/>
      <c r="S29" s="121"/>
      <c r="T29" s="121"/>
      <c r="U29" s="120"/>
      <c r="V29" s="120"/>
      <c r="W29" s="120"/>
      <c r="X29" s="120"/>
      <c r="Y29" s="120"/>
      <c r="Z29" s="120"/>
      <c r="AA29" s="121"/>
      <c r="AB29" s="121"/>
      <c r="AC29" s="120"/>
      <c r="AD29" s="120"/>
      <c r="AE29" s="120"/>
      <c r="AF29" s="120"/>
      <c r="AG29" s="120"/>
      <c r="AH29" s="120"/>
      <c r="AI29" s="121"/>
      <c r="AJ29" s="121"/>
      <c r="AK29" s="120"/>
      <c r="AL29" s="120"/>
      <c r="AM29" s="120"/>
      <c r="AN29" s="120"/>
      <c r="AO29" s="120"/>
      <c r="AP29" s="120"/>
      <c r="AQ29" s="121"/>
    </row>
    <row r="30" spans="1:70" s="9" customFormat="1" x14ac:dyDescent="0.35">
      <c r="A30" s="146" t="str">
        <f>VLOOKUP(MONTH(ExpiFX2),$A$44:$D$56,4)</f>
        <v>Aug</v>
      </c>
      <c r="B30" s="108">
        <v>42223</v>
      </c>
      <c r="C30" s="146">
        <f t="shared" ca="1" si="0"/>
        <v>-5.9808219178082194</v>
      </c>
      <c r="E30" s="120"/>
      <c r="F30" s="120"/>
      <c r="G30" s="120"/>
      <c r="H30" s="120"/>
      <c r="I30" s="120"/>
      <c r="J30" s="120"/>
      <c r="K30" s="121"/>
      <c r="L30" s="121"/>
      <c r="M30" s="120"/>
      <c r="N30" s="120"/>
      <c r="O30" s="120"/>
      <c r="P30" s="120"/>
      <c r="Q30" s="120"/>
      <c r="R30" s="120"/>
      <c r="S30" s="121"/>
      <c r="T30" s="121"/>
      <c r="U30" s="120"/>
      <c r="V30" s="120"/>
      <c r="W30" s="120"/>
      <c r="X30" s="120"/>
      <c r="Y30" s="120"/>
      <c r="Z30" s="120"/>
      <c r="AA30" s="121"/>
      <c r="AB30" s="121"/>
      <c r="AC30" s="120"/>
      <c r="AD30" s="120"/>
      <c r="AE30" s="120"/>
      <c r="AF30" s="120"/>
      <c r="AG30" s="120"/>
      <c r="AH30" s="120"/>
      <c r="AI30" s="121"/>
      <c r="AJ30" s="121"/>
      <c r="AK30" s="120"/>
      <c r="AL30" s="120"/>
      <c r="AM30" s="120"/>
      <c r="AN30" s="120"/>
      <c r="AO30" s="120"/>
      <c r="AP30" s="120"/>
      <c r="AQ30" s="121"/>
    </row>
    <row r="31" spans="1:70" s="9" customFormat="1" x14ac:dyDescent="0.35">
      <c r="A31" s="99" t="str">
        <f>VLOOKUP(MONTH(ExpiFX3),$A$44:$D$56,4)</f>
        <v>Sep</v>
      </c>
      <c r="B31" s="108">
        <v>42251</v>
      </c>
      <c r="C31" s="146">
        <f t="shared" ca="1" si="0"/>
        <v>-5.904109589041096</v>
      </c>
      <c r="E31" s="120"/>
      <c r="F31" s="120"/>
      <c r="G31" s="120"/>
      <c r="H31" s="120"/>
      <c r="I31" s="120"/>
      <c r="J31" s="120"/>
      <c r="K31" s="121"/>
      <c r="L31" s="121"/>
      <c r="M31" s="120"/>
      <c r="N31" s="120"/>
      <c r="O31" s="120"/>
      <c r="P31" s="120"/>
      <c r="Q31" s="120"/>
      <c r="R31" s="120"/>
      <c r="S31" s="121"/>
      <c r="T31" s="121"/>
      <c r="U31" s="120"/>
      <c r="V31" s="120"/>
      <c r="W31" s="120"/>
      <c r="X31" s="120"/>
      <c r="Y31" s="120"/>
      <c r="Z31" s="120"/>
      <c r="AA31" s="121"/>
      <c r="AB31" s="121"/>
      <c r="AC31" s="120"/>
      <c r="AD31" s="120"/>
      <c r="AE31" s="120"/>
      <c r="AF31" s="120"/>
      <c r="AG31" s="120"/>
      <c r="AH31" s="120"/>
      <c r="AI31" s="121"/>
      <c r="AJ31" s="121"/>
      <c r="AK31" s="120"/>
      <c r="AL31" s="120"/>
      <c r="AM31" s="120"/>
      <c r="AN31" s="120"/>
      <c r="AO31" s="120"/>
      <c r="AP31" s="120"/>
      <c r="AQ31" s="121"/>
    </row>
    <row r="32" spans="1:70" s="9" customFormat="1" x14ac:dyDescent="0.35">
      <c r="A32" s="99" t="str">
        <f>VLOOKUP(MONTH(ExpiFX4),$A$44:$D$56,4)</f>
        <v>Dec</v>
      </c>
      <c r="B32" s="108">
        <v>42342</v>
      </c>
      <c r="C32" s="146">
        <f t="shared" ca="1" si="0"/>
        <v>-5.6547945205479451</v>
      </c>
      <c r="E32" s="120"/>
      <c r="F32" s="166"/>
      <c r="G32" s="120"/>
      <c r="H32" s="120"/>
      <c r="I32" s="120"/>
      <c r="J32" s="120"/>
      <c r="K32" s="121"/>
      <c r="L32" s="121"/>
      <c r="M32" s="120"/>
      <c r="N32" s="120"/>
      <c r="O32" s="120"/>
      <c r="P32" s="120"/>
      <c r="Q32" s="120"/>
      <c r="R32" s="120"/>
      <c r="S32" s="121"/>
      <c r="T32" s="121"/>
      <c r="U32" s="120"/>
      <c r="V32" s="120"/>
      <c r="W32" s="120"/>
      <c r="X32" s="120"/>
      <c r="Y32" s="120"/>
      <c r="Z32" s="120"/>
      <c r="AA32" s="121"/>
      <c r="AB32" s="121"/>
      <c r="AC32" s="120"/>
      <c r="AD32" s="120"/>
      <c r="AE32" s="120"/>
      <c r="AF32" s="120"/>
      <c r="AG32" s="120"/>
      <c r="AH32" s="120"/>
      <c r="AI32" s="121"/>
      <c r="AJ32" s="121"/>
      <c r="AK32" s="120"/>
      <c r="AL32" s="120"/>
      <c r="AM32" s="120"/>
      <c r="AN32" s="120"/>
      <c r="AO32" s="120"/>
      <c r="AP32" s="120"/>
      <c r="AQ32" s="121"/>
    </row>
    <row r="33" spans="1:43" s="9" customFormat="1" x14ac:dyDescent="0.35">
      <c r="A33" s="99" t="str">
        <f>VLOOKUP(MONTH(ExpiFX5),$A$44:$D$56,4)</f>
        <v>Dec</v>
      </c>
      <c r="B33" s="108">
        <v>42342</v>
      </c>
      <c r="C33" s="146">
        <f t="shared" ca="1" si="0"/>
        <v>-5.6547945205479451</v>
      </c>
      <c r="D33" s="11"/>
      <c r="E33" s="120"/>
      <c r="F33" s="120"/>
      <c r="G33" s="120"/>
      <c r="H33" s="120"/>
      <c r="I33" s="120"/>
      <c r="J33" s="120"/>
      <c r="K33" s="121"/>
      <c r="L33" s="121"/>
      <c r="M33" s="120"/>
      <c r="N33" s="120"/>
      <c r="O33" s="120"/>
      <c r="P33" s="120"/>
      <c r="Q33" s="120"/>
      <c r="R33" s="120"/>
      <c r="S33" s="121"/>
      <c r="T33" s="121"/>
      <c r="U33" s="120"/>
      <c r="V33" s="120"/>
      <c r="W33" s="120"/>
      <c r="X33" s="120"/>
      <c r="Y33" s="120"/>
      <c r="Z33" s="120"/>
      <c r="AA33" s="121"/>
      <c r="AB33" s="121"/>
      <c r="AC33" s="120"/>
      <c r="AD33" s="120"/>
      <c r="AE33" s="120"/>
      <c r="AF33" s="120"/>
      <c r="AG33" s="120"/>
      <c r="AH33" s="120"/>
      <c r="AI33" s="121"/>
      <c r="AJ33" s="121"/>
      <c r="AK33" s="120"/>
      <c r="AL33" s="120"/>
      <c r="AM33" s="120"/>
      <c r="AN33" s="120"/>
      <c r="AO33" s="120"/>
      <c r="AP33" s="120"/>
      <c r="AQ33" s="121"/>
    </row>
    <row r="34" spans="1:43" s="9" customFormat="1" x14ac:dyDescent="0.35">
      <c r="A34" s="99" t="str">
        <f>VLOOKUP(MONTH(ExpiFX6),$A$44:$D$56,4)</f>
        <v>Dec</v>
      </c>
      <c r="B34" s="108">
        <v>42342</v>
      </c>
      <c r="C34" s="146">
        <f t="shared" ca="1" si="0"/>
        <v>-5.6547945205479451</v>
      </c>
      <c r="D34" s="11"/>
      <c r="E34" s="120"/>
      <c r="F34" s="120"/>
      <c r="G34" s="120"/>
      <c r="H34" s="120"/>
      <c r="I34" s="120"/>
      <c r="J34" s="120"/>
      <c r="K34" s="121"/>
      <c r="L34" s="121"/>
      <c r="M34" s="120"/>
      <c r="N34" s="120"/>
      <c r="O34" s="120"/>
      <c r="P34" s="120"/>
      <c r="Q34" s="120"/>
      <c r="R34" s="120"/>
      <c r="S34" s="121"/>
      <c r="T34" s="121"/>
      <c r="U34" s="120"/>
      <c r="V34" s="120"/>
      <c r="W34" s="120"/>
      <c r="X34" s="120"/>
      <c r="Y34" s="120"/>
      <c r="Z34" s="120"/>
      <c r="AA34" s="121"/>
      <c r="AB34" s="121"/>
      <c r="AC34" s="120"/>
      <c r="AD34" s="120"/>
      <c r="AE34" s="120"/>
      <c r="AF34" s="120"/>
      <c r="AG34" s="120"/>
      <c r="AH34" s="120"/>
      <c r="AI34" s="121"/>
      <c r="AJ34" s="121"/>
      <c r="AK34" s="120"/>
      <c r="AL34" s="120"/>
      <c r="AM34" s="120"/>
      <c r="AN34" s="120"/>
      <c r="AO34" s="120"/>
      <c r="AP34" s="120"/>
      <c r="AQ34" s="121"/>
    </row>
    <row r="35" spans="1:43" s="9" customFormat="1" ht="15" thickBot="1" x14ac:dyDescent="0.4">
      <c r="A35" s="147" t="str">
        <f>VLOOKUP(MONTH(ExpiFX7),$A$44:$D$56,4)</f>
        <v>Mar</v>
      </c>
      <c r="B35" s="111">
        <v>42433</v>
      </c>
      <c r="C35" s="147">
        <f t="shared" ca="1" si="0"/>
        <v>-5.4054794520547942</v>
      </c>
      <c r="D35" s="11"/>
      <c r="E35" s="120"/>
      <c r="F35" s="120"/>
      <c r="G35" s="120"/>
      <c r="H35" s="120"/>
      <c r="I35" s="120"/>
      <c r="J35" s="120"/>
      <c r="K35" s="121"/>
      <c r="L35" s="121"/>
      <c r="M35" s="120"/>
      <c r="N35" s="120"/>
      <c r="O35" s="120"/>
      <c r="P35" s="120"/>
      <c r="Q35" s="120"/>
      <c r="R35" s="120"/>
      <c r="S35" s="121"/>
      <c r="T35" s="121"/>
      <c r="U35" s="120"/>
      <c r="V35" s="120"/>
      <c r="W35" s="120"/>
      <c r="X35" s="120"/>
      <c r="Y35" s="120"/>
      <c r="Z35" s="120"/>
      <c r="AA35" s="121"/>
      <c r="AB35" s="121"/>
      <c r="AC35" s="120"/>
      <c r="AD35" s="120"/>
      <c r="AE35" s="120"/>
      <c r="AF35" s="120"/>
      <c r="AG35" s="120"/>
      <c r="AH35" s="120"/>
      <c r="AI35" s="121"/>
      <c r="AJ35" s="121"/>
      <c r="AK35" s="120"/>
      <c r="AL35" s="120"/>
      <c r="AM35" s="120"/>
      <c r="AN35" s="120"/>
      <c r="AO35" s="120"/>
      <c r="AP35" s="120"/>
      <c r="AQ35" s="121"/>
    </row>
    <row r="36" spans="1:43" s="9" customFormat="1" x14ac:dyDescent="0.35">
      <c r="A36" s="151"/>
      <c r="B36" s="149"/>
      <c r="C36" s="149"/>
      <c r="D36" s="11"/>
      <c r="E36" s="120"/>
      <c r="F36" s="120"/>
      <c r="G36" s="120"/>
      <c r="H36" s="120"/>
      <c r="I36" s="120"/>
      <c r="J36" s="120"/>
      <c r="K36" s="121"/>
      <c r="L36" s="121"/>
      <c r="M36" s="120"/>
      <c r="N36" s="120"/>
      <c r="O36" s="120"/>
      <c r="P36" s="120"/>
      <c r="Q36" s="120"/>
      <c r="R36" s="120"/>
      <c r="S36" s="121"/>
      <c r="T36" s="121"/>
      <c r="U36" s="120"/>
      <c r="V36" s="120"/>
      <c r="W36" s="120"/>
      <c r="X36" s="120"/>
      <c r="Y36" s="120"/>
      <c r="Z36" s="120"/>
      <c r="AA36" s="121"/>
      <c r="AB36" s="121"/>
      <c r="AC36" s="120"/>
      <c r="AD36" s="120"/>
      <c r="AE36" s="120"/>
      <c r="AF36" s="120"/>
      <c r="AG36" s="120"/>
      <c r="AH36" s="120"/>
      <c r="AI36" s="121"/>
      <c r="AJ36" s="121"/>
      <c r="AK36" s="120"/>
      <c r="AL36" s="120"/>
      <c r="AM36" s="120"/>
      <c r="AN36" s="120"/>
      <c r="AO36" s="120"/>
      <c r="AP36" s="120"/>
      <c r="AQ36" s="121"/>
    </row>
    <row r="37" spans="1:43" s="9" customFormat="1" x14ac:dyDescent="0.35">
      <c r="A37" s="151"/>
      <c r="B37" s="149"/>
      <c r="C37" s="149"/>
      <c r="D37" s="11"/>
      <c r="E37" s="120"/>
      <c r="F37" s="120"/>
      <c r="G37" s="120"/>
      <c r="H37" s="120"/>
      <c r="I37" s="120"/>
      <c r="J37" s="120"/>
      <c r="K37" s="121"/>
      <c r="L37" s="121"/>
      <c r="M37" s="120"/>
      <c r="N37" s="120"/>
      <c r="O37" s="120"/>
      <c r="P37" s="120"/>
      <c r="Q37" s="120"/>
      <c r="R37" s="120"/>
      <c r="S37" s="121"/>
      <c r="T37" s="121"/>
      <c r="U37" s="120"/>
      <c r="V37" s="120"/>
      <c r="W37" s="120"/>
      <c r="X37" s="120"/>
      <c r="Y37" s="120"/>
      <c r="Z37" s="120"/>
      <c r="AA37" s="121"/>
      <c r="AB37" s="121"/>
      <c r="AC37" s="120"/>
      <c r="AD37" s="120"/>
      <c r="AE37" s="120"/>
      <c r="AF37" s="120"/>
      <c r="AG37" s="120"/>
      <c r="AH37" s="120"/>
      <c r="AI37" s="121"/>
      <c r="AJ37" s="121"/>
      <c r="AK37" s="120"/>
      <c r="AL37" s="120"/>
      <c r="AM37" s="120"/>
      <c r="AN37" s="120"/>
      <c r="AO37" s="120"/>
      <c r="AP37" s="120"/>
      <c r="AQ37" s="121"/>
    </row>
    <row r="38" spans="1:43" x14ac:dyDescent="0.35">
      <c r="A38" s="152"/>
      <c r="C38" s="1"/>
      <c r="D38" s="11"/>
      <c r="E38" s="120"/>
      <c r="F38" s="120"/>
      <c r="G38" s="120"/>
      <c r="H38" s="120"/>
      <c r="I38" s="120"/>
      <c r="J38" s="120"/>
      <c r="K38" s="121"/>
      <c r="L38" s="121"/>
      <c r="M38" s="120"/>
      <c r="N38" s="120"/>
      <c r="O38" s="120"/>
      <c r="P38" s="120"/>
      <c r="Q38" s="120"/>
      <c r="R38" s="120"/>
      <c r="S38" s="121"/>
      <c r="T38" s="121"/>
      <c r="U38" s="120"/>
      <c r="V38" s="120"/>
      <c r="W38" s="120"/>
      <c r="X38" s="120"/>
      <c r="Y38" s="120"/>
      <c r="Z38" s="120"/>
      <c r="AA38" s="121"/>
      <c r="AB38" s="121"/>
      <c r="AC38" s="120"/>
      <c r="AD38" s="120"/>
      <c r="AE38" s="120"/>
      <c r="AF38" s="120"/>
      <c r="AG38" s="120"/>
      <c r="AH38" s="120"/>
      <c r="AI38" s="121"/>
      <c r="AJ38" s="121"/>
      <c r="AK38" s="120"/>
      <c r="AL38" s="120"/>
      <c r="AM38" s="120"/>
      <c r="AN38" s="120"/>
      <c r="AO38" s="120"/>
      <c r="AP38" s="120"/>
      <c r="AQ38" s="121"/>
    </row>
    <row r="39" spans="1:43" x14ac:dyDescent="0.35">
      <c r="A39" s="152"/>
      <c r="B39" s="9"/>
      <c r="E39" s="120"/>
      <c r="F39" s="120"/>
      <c r="G39" s="120"/>
      <c r="H39" s="120"/>
      <c r="I39" s="120"/>
      <c r="J39" s="120"/>
      <c r="K39" s="121"/>
      <c r="L39" s="121"/>
      <c r="M39" s="120"/>
      <c r="N39" s="120"/>
      <c r="O39" s="120"/>
      <c r="P39" s="120"/>
      <c r="Q39" s="120"/>
      <c r="R39" s="120"/>
      <c r="S39" s="121"/>
      <c r="T39" s="121"/>
      <c r="U39" s="120"/>
      <c r="V39" s="120"/>
      <c r="W39" s="120"/>
      <c r="X39" s="120"/>
      <c r="Y39" s="120"/>
      <c r="Z39" s="120"/>
      <c r="AA39" s="121"/>
      <c r="AB39" s="121"/>
      <c r="AC39" s="120"/>
      <c r="AD39" s="120"/>
      <c r="AE39" s="120"/>
      <c r="AF39" s="120"/>
      <c r="AG39" s="120"/>
      <c r="AH39" s="120"/>
      <c r="AI39" s="121"/>
      <c r="AJ39" s="121"/>
      <c r="AK39" s="120"/>
      <c r="AL39" s="120"/>
      <c r="AM39" s="120"/>
      <c r="AN39" s="120"/>
      <c r="AO39" s="120"/>
      <c r="AP39" s="120"/>
      <c r="AQ39" s="121"/>
    </row>
    <row r="40" spans="1:43" x14ac:dyDescent="0.35">
      <c r="B40" s="9"/>
      <c r="E40" s="120"/>
      <c r="F40" s="120"/>
      <c r="G40" s="120"/>
      <c r="H40" s="120"/>
      <c r="I40" s="120"/>
      <c r="J40" s="120"/>
      <c r="K40" s="126"/>
      <c r="L40" s="126"/>
      <c r="M40" s="127"/>
      <c r="N40" s="127"/>
      <c r="O40" s="120"/>
      <c r="P40" s="120"/>
      <c r="Q40" s="120"/>
      <c r="R40" s="120"/>
      <c r="S40" s="128"/>
      <c r="T40" s="128"/>
      <c r="U40" s="119"/>
      <c r="V40" s="119"/>
      <c r="W40" s="119"/>
      <c r="X40" s="129"/>
      <c r="Y40" s="119"/>
      <c r="Z40" s="119"/>
      <c r="AA40" s="119"/>
      <c r="AB40" s="119"/>
      <c r="AC40" s="119"/>
      <c r="AD40" s="119"/>
      <c r="AE40" s="119"/>
      <c r="AF40" s="129"/>
      <c r="AG40" s="119"/>
      <c r="AH40" s="119"/>
      <c r="AI40" s="119"/>
      <c r="AJ40" s="119"/>
      <c r="AM40" s="120"/>
      <c r="AN40" s="120"/>
      <c r="AO40" s="120"/>
      <c r="AP40" s="120"/>
      <c r="AQ40" s="126"/>
    </row>
    <row r="41" spans="1:43" x14ac:dyDescent="0.35">
      <c r="A41" s="19"/>
      <c r="E41" s="120"/>
      <c r="F41" s="120"/>
      <c r="G41" s="120"/>
      <c r="H41" s="120"/>
      <c r="I41" s="120"/>
      <c r="J41" s="120"/>
      <c r="K41" s="126"/>
      <c r="L41" s="126"/>
      <c r="M41" s="127"/>
      <c r="N41" s="127"/>
      <c r="O41" s="120"/>
      <c r="P41" s="120"/>
      <c r="Q41" s="120"/>
      <c r="R41" s="120"/>
      <c r="S41" s="128"/>
      <c r="T41" s="128"/>
      <c r="U41" s="119"/>
      <c r="V41" s="119"/>
      <c r="W41" s="119"/>
      <c r="X41" s="129"/>
      <c r="Y41" s="119"/>
      <c r="Z41" s="119"/>
      <c r="AA41" s="119"/>
      <c r="AB41" s="119"/>
      <c r="AC41" s="119"/>
      <c r="AD41" s="119"/>
      <c r="AE41" s="119"/>
      <c r="AF41" s="129"/>
      <c r="AG41" s="119"/>
      <c r="AH41" s="119"/>
      <c r="AI41" s="119"/>
      <c r="AJ41" s="119"/>
    </row>
    <row r="42" spans="1:43" x14ac:dyDescent="0.35">
      <c r="A42" s="19"/>
      <c r="E42" s="120"/>
      <c r="F42" s="120"/>
      <c r="G42" s="120"/>
      <c r="H42" s="120"/>
      <c r="I42" s="120"/>
      <c r="J42" s="120"/>
      <c r="K42" s="126"/>
      <c r="L42" s="126"/>
      <c r="M42" s="127"/>
      <c r="N42" s="127"/>
      <c r="O42" s="120"/>
      <c r="P42" s="120"/>
      <c r="Q42" s="120"/>
      <c r="R42" s="120"/>
      <c r="S42" s="128"/>
      <c r="T42" s="128"/>
      <c r="U42" s="119"/>
      <c r="V42" s="119"/>
      <c r="W42" s="119"/>
      <c r="X42" s="129"/>
      <c r="Y42" s="119"/>
      <c r="Z42" s="119"/>
      <c r="AA42" s="119"/>
      <c r="AB42" s="119"/>
      <c r="AC42" s="119"/>
      <c r="AD42" s="119"/>
      <c r="AE42" s="119"/>
      <c r="AF42" s="129"/>
      <c r="AG42" s="119"/>
      <c r="AH42" s="119"/>
      <c r="AI42" s="119"/>
      <c r="AJ42" s="119"/>
    </row>
    <row r="43" spans="1:43" ht="15" thickBot="1" x14ac:dyDescent="0.4">
      <c r="A43" s="19"/>
      <c r="E43" s="120"/>
      <c r="F43" s="120"/>
      <c r="G43" s="120"/>
      <c r="H43" s="120"/>
      <c r="I43" s="120"/>
      <c r="J43" s="120"/>
      <c r="K43" s="126"/>
      <c r="L43" s="126"/>
      <c r="M43" s="127"/>
      <c r="N43" s="127"/>
      <c r="O43" s="120"/>
      <c r="P43" s="120"/>
      <c r="Q43" s="120"/>
      <c r="R43" s="120"/>
      <c r="S43" s="128"/>
      <c r="T43" s="128"/>
      <c r="U43" s="119"/>
      <c r="V43" s="119"/>
      <c r="W43" s="119"/>
      <c r="X43" s="129"/>
      <c r="Y43" s="119"/>
      <c r="Z43" s="119"/>
      <c r="AA43" s="119"/>
      <c r="AB43" s="119"/>
      <c r="AC43" s="119"/>
      <c r="AD43" s="119"/>
      <c r="AE43" s="119"/>
      <c r="AF43" s="129"/>
      <c r="AG43" s="119"/>
      <c r="AH43" s="119"/>
      <c r="AI43" s="119"/>
      <c r="AJ43" s="119"/>
    </row>
    <row r="44" spans="1:43" x14ac:dyDescent="0.35">
      <c r="A44" s="42"/>
      <c r="B44" s="43" t="s">
        <v>43</v>
      </c>
      <c r="C44" s="43" t="s">
        <v>44</v>
      </c>
      <c r="E44" s="120"/>
      <c r="F44" s="120"/>
      <c r="G44" s="120"/>
      <c r="H44" s="120"/>
      <c r="I44" s="120"/>
      <c r="J44" s="120"/>
      <c r="K44" s="126"/>
      <c r="L44" s="126"/>
      <c r="M44" s="127"/>
      <c r="N44" s="127"/>
      <c r="O44" s="120"/>
      <c r="P44" s="120"/>
      <c r="Q44" s="120"/>
      <c r="R44" s="120"/>
      <c r="S44" s="128"/>
      <c r="T44" s="128"/>
      <c r="U44" s="119"/>
      <c r="V44" s="119"/>
      <c r="W44" s="119"/>
      <c r="X44" s="129"/>
      <c r="Y44" s="119"/>
      <c r="Z44" s="119"/>
      <c r="AA44" s="119"/>
      <c r="AB44" s="119"/>
      <c r="AC44" s="119"/>
      <c r="AD44" s="119"/>
      <c r="AE44" s="119"/>
      <c r="AF44" s="129"/>
      <c r="AG44" s="119"/>
      <c r="AH44" s="119"/>
      <c r="AI44" s="119"/>
      <c r="AJ44" s="119"/>
    </row>
    <row r="45" spans="1:43" x14ac:dyDescent="0.35">
      <c r="A45" s="48">
        <v>1</v>
      </c>
      <c r="B45" s="9" t="s">
        <v>26</v>
      </c>
      <c r="C45" s="9" t="s">
        <v>29</v>
      </c>
      <c r="D45" s="9" t="s">
        <v>68</v>
      </c>
      <c r="E45" s="120"/>
      <c r="F45" s="120"/>
      <c r="G45" s="120"/>
      <c r="H45" s="120"/>
      <c r="I45" s="120"/>
      <c r="J45" s="120"/>
      <c r="K45" s="126"/>
      <c r="L45" s="126"/>
      <c r="M45" s="127"/>
      <c r="N45" s="127"/>
      <c r="O45" s="120"/>
      <c r="P45" s="120"/>
      <c r="Q45" s="120"/>
      <c r="R45" s="120"/>
      <c r="S45" s="128"/>
      <c r="T45" s="128"/>
      <c r="U45" s="119"/>
      <c r="V45" s="119"/>
      <c r="W45" s="119"/>
      <c r="X45" s="129"/>
      <c r="Y45" s="119"/>
      <c r="Z45" s="119"/>
      <c r="AA45" s="119"/>
      <c r="AB45" s="119"/>
      <c r="AC45" s="119"/>
      <c r="AD45" s="119"/>
      <c r="AE45" s="119"/>
      <c r="AF45" s="129"/>
      <c r="AG45" s="119"/>
      <c r="AH45" s="119"/>
      <c r="AI45" s="119"/>
      <c r="AJ45" s="119"/>
    </row>
    <row r="46" spans="1:43" x14ac:dyDescent="0.35">
      <c r="A46" s="48">
        <v>2</v>
      </c>
      <c r="B46" s="9" t="s">
        <v>27</v>
      </c>
      <c r="C46" s="9" t="s">
        <v>30</v>
      </c>
      <c r="D46" s="9" t="s">
        <v>79</v>
      </c>
      <c r="E46" s="120"/>
      <c r="F46" s="120"/>
      <c r="G46" s="120"/>
      <c r="H46" s="120"/>
      <c r="I46" s="120"/>
      <c r="J46" s="120"/>
      <c r="K46" s="126"/>
      <c r="L46" s="126"/>
      <c r="M46" s="127"/>
      <c r="N46" s="127"/>
      <c r="O46" s="120"/>
      <c r="P46" s="120"/>
      <c r="Q46" s="120"/>
      <c r="R46" s="120"/>
      <c r="S46" s="128"/>
      <c r="T46" s="128"/>
      <c r="U46" s="120"/>
      <c r="V46" s="120"/>
      <c r="W46" s="120"/>
      <c r="X46" s="129"/>
      <c r="Y46" s="119"/>
      <c r="Z46" s="119"/>
      <c r="AA46" s="120"/>
      <c r="AB46" s="120"/>
      <c r="AC46" s="119"/>
      <c r="AD46" s="119"/>
      <c r="AE46" s="119"/>
      <c r="AF46" s="129"/>
      <c r="AG46" s="119"/>
      <c r="AH46" s="119"/>
      <c r="AI46" s="119"/>
      <c r="AJ46" s="119"/>
    </row>
    <row r="47" spans="1:43" x14ac:dyDescent="0.35">
      <c r="A47" s="48">
        <v>3</v>
      </c>
      <c r="B47" s="9" t="s">
        <v>28</v>
      </c>
      <c r="C47" s="9" t="s">
        <v>45</v>
      </c>
      <c r="D47" s="9" t="s">
        <v>69</v>
      </c>
      <c r="E47" s="120"/>
      <c r="F47" s="120"/>
      <c r="G47" s="120"/>
      <c r="H47" s="120"/>
      <c r="I47" s="120"/>
      <c r="J47" s="120"/>
      <c r="K47" s="126"/>
      <c r="L47" s="126"/>
      <c r="M47" s="127"/>
      <c r="N47" s="127"/>
      <c r="O47" s="120"/>
      <c r="P47" s="120"/>
      <c r="Q47" s="120"/>
      <c r="R47" s="120"/>
      <c r="S47" s="128"/>
      <c r="T47" s="128"/>
      <c r="U47" s="120"/>
      <c r="V47" s="120"/>
      <c r="W47" s="120"/>
      <c r="X47" s="129"/>
      <c r="Y47" s="119"/>
      <c r="Z47" s="119"/>
      <c r="AA47" s="120"/>
      <c r="AB47" s="120"/>
      <c r="AC47" s="120"/>
      <c r="AD47" s="120"/>
      <c r="AE47" s="120"/>
      <c r="AF47" s="129"/>
      <c r="AG47" s="119"/>
      <c r="AH47" s="119"/>
      <c r="AI47" s="120"/>
      <c r="AJ47" s="120"/>
    </row>
    <row r="48" spans="1:43" x14ac:dyDescent="0.35">
      <c r="A48" s="48">
        <v>4</v>
      </c>
      <c r="B48" s="9" t="s">
        <v>46</v>
      </c>
      <c r="C48" s="9" t="s">
        <v>47</v>
      </c>
      <c r="D48" s="9" t="s">
        <v>70</v>
      </c>
      <c r="E48" s="120"/>
      <c r="F48" s="120"/>
      <c r="G48" s="120"/>
      <c r="H48" s="120"/>
      <c r="I48" s="120"/>
      <c r="J48" s="120"/>
      <c r="K48" s="126"/>
      <c r="L48" s="126"/>
      <c r="M48" s="127"/>
      <c r="N48" s="127"/>
      <c r="O48" s="120"/>
      <c r="P48" s="120"/>
      <c r="Q48" s="120"/>
      <c r="R48" s="120"/>
      <c r="S48" s="128"/>
      <c r="T48" s="128"/>
      <c r="U48" s="120"/>
      <c r="V48" s="120"/>
      <c r="W48" s="120"/>
      <c r="X48" s="129"/>
      <c r="Y48" s="119"/>
      <c r="Z48" s="119"/>
      <c r="AA48" s="120"/>
      <c r="AB48" s="120"/>
      <c r="AC48" s="120"/>
      <c r="AD48" s="120"/>
      <c r="AE48" s="120"/>
      <c r="AF48" s="129"/>
      <c r="AG48" s="119"/>
      <c r="AH48" s="119"/>
      <c r="AI48" s="120"/>
      <c r="AJ48" s="120"/>
    </row>
    <row r="49" spans="1:36" x14ac:dyDescent="0.35">
      <c r="A49" s="48">
        <v>5</v>
      </c>
      <c r="B49" s="9" t="s">
        <v>48</v>
      </c>
      <c r="C49" s="9" t="s">
        <v>31</v>
      </c>
      <c r="D49" s="9" t="s">
        <v>71</v>
      </c>
      <c r="E49" s="120"/>
      <c r="F49" s="120"/>
      <c r="G49" s="120"/>
      <c r="H49" s="120"/>
      <c r="I49" s="120"/>
      <c r="J49" s="120"/>
      <c r="K49" s="126"/>
      <c r="L49" s="126"/>
      <c r="M49" s="127"/>
      <c r="N49" s="127"/>
      <c r="O49" s="120"/>
      <c r="P49" s="120"/>
      <c r="Q49" s="120"/>
      <c r="R49" s="120"/>
      <c r="S49" s="128"/>
      <c r="T49" s="128"/>
      <c r="U49" s="120"/>
      <c r="V49" s="120"/>
      <c r="W49" s="120"/>
      <c r="X49" s="129"/>
      <c r="Y49" s="119"/>
      <c r="Z49" s="119"/>
      <c r="AA49" s="120"/>
      <c r="AB49" s="120"/>
      <c r="AC49" s="120"/>
      <c r="AD49" s="120"/>
      <c r="AE49" s="120"/>
      <c r="AF49" s="129"/>
      <c r="AG49" s="119"/>
      <c r="AH49" s="119"/>
      <c r="AI49" s="120"/>
      <c r="AJ49" s="120"/>
    </row>
    <row r="50" spans="1:36" x14ac:dyDescent="0.35">
      <c r="A50" s="48">
        <v>6</v>
      </c>
      <c r="B50" s="9" t="s">
        <v>49</v>
      </c>
      <c r="C50" s="9" t="s">
        <v>50</v>
      </c>
      <c r="D50" s="9" t="s">
        <v>72</v>
      </c>
      <c r="E50" s="120"/>
      <c r="F50" s="120"/>
      <c r="G50" s="120"/>
      <c r="H50" s="120"/>
      <c r="I50" s="120"/>
      <c r="J50" s="120"/>
      <c r="K50" s="126"/>
      <c r="L50" s="126"/>
      <c r="M50" s="127"/>
      <c r="N50" s="127"/>
      <c r="O50" s="120"/>
      <c r="P50" s="120"/>
      <c r="Q50" s="120"/>
      <c r="R50" s="120"/>
      <c r="S50" s="128"/>
      <c r="T50" s="128"/>
      <c r="U50" s="120"/>
      <c r="V50" s="120"/>
      <c r="W50" s="120"/>
      <c r="X50" s="129"/>
      <c r="Y50" s="119"/>
      <c r="Z50" s="119"/>
      <c r="AA50" s="120"/>
      <c r="AB50" s="120"/>
      <c r="AC50" s="120"/>
      <c r="AD50" s="120"/>
      <c r="AE50" s="120"/>
      <c r="AF50" s="129"/>
      <c r="AG50" s="119"/>
      <c r="AH50" s="119"/>
      <c r="AI50" s="120"/>
      <c r="AJ50" s="120"/>
    </row>
    <row r="51" spans="1:36" x14ac:dyDescent="0.35">
      <c r="A51" s="48">
        <v>7</v>
      </c>
      <c r="B51" s="9" t="s">
        <v>51</v>
      </c>
      <c r="C51" s="9" t="s">
        <v>52</v>
      </c>
      <c r="D51" s="9" t="s">
        <v>73</v>
      </c>
      <c r="E51" s="120"/>
      <c r="F51" s="120"/>
      <c r="G51" s="120"/>
      <c r="H51" s="120"/>
      <c r="I51" s="120"/>
      <c r="J51" s="120"/>
      <c r="K51" s="126"/>
      <c r="L51" s="126"/>
      <c r="M51" s="127"/>
      <c r="N51" s="127"/>
      <c r="O51" s="120"/>
      <c r="P51" s="120"/>
      <c r="Q51" s="120"/>
      <c r="R51" s="120"/>
      <c r="S51" s="128"/>
      <c r="T51" s="128"/>
      <c r="U51" s="120"/>
      <c r="V51" s="120"/>
      <c r="W51" s="120"/>
      <c r="X51" s="129"/>
      <c r="Y51" s="119"/>
      <c r="Z51" s="119"/>
      <c r="AA51" s="120"/>
      <c r="AB51" s="120"/>
      <c r="AC51" s="120"/>
      <c r="AD51" s="120"/>
      <c r="AE51" s="120"/>
      <c r="AF51" s="129"/>
      <c r="AG51" s="119"/>
      <c r="AH51" s="119"/>
      <c r="AI51" s="120"/>
      <c r="AJ51" s="120"/>
    </row>
    <row r="52" spans="1:36" x14ac:dyDescent="0.35">
      <c r="A52" s="48">
        <v>8</v>
      </c>
      <c r="B52" s="9" t="s">
        <v>53</v>
      </c>
      <c r="C52" s="9" t="s">
        <v>5</v>
      </c>
      <c r="D52" s="9" t="s">
        <v>74</v>
      </c>
      <c r="E52" s="120"/>
      <c r="F52" s="120"/>
      <c r="G52" s="120"/>
      <c r="H52" s="120"/>
      <c r="I52" s="120"/>
      <c r="J52" s="120"/>
      <c r="K52" s="126"/>
      <c r="L52" s="126"/>
      <c r="M52" s="127"/>
      <c r="N52" s="127"/>
      <c r="O52" s="120"/>
      <c r="P52" s="120"/>
      <c r="Q52" s="120"/>
      <c r="R52" s="120"/>
      <c r="S52" s="128"/>
      <c r="T52" s="128"/>
      <c r="U52" s="120"/>
      <c r="V52" s="120"/>
      <c r="W52" s="120"/>
      <c r="X52" s="129"/>
      <c r="Y52" s="119"/>
      <c r="Z52" s="119"/>
      <c r="AA52" s="120"/>
      <c r="AB52" s="120"/>
      <c r="AC52" s="120"/>
      <c r="AD52" s="120"/>
      <c r="AE52" s="120"/>
      <c r="AF52" s="129"/>
      <c r="AG52" s="119"/>
      <c r="AH52" s="119"/>
      <c r="AI52" s="120"/>
      <c r="AJ52" s="120"/>
    </row>
    <row r="53" spans="1:36" x14ac:dyDescent="0.35">
      <c r="A53" s="48">
        <v>9</v>
      </c>
      <c r="B53" s="9" t="s">
        <v>54</v>
      </c>
      <c r="C53" s="9" t="s">
        <v>55</v>
      </c>
      <c r="D53" s="9" t="s">
        <v>75</v>
      </c>
      <c r="E53" s="120"/>
      <c r="F53" s="120"/>
      <c r="G53" s="120"/>
      <c r="H53" s="120"/>
      <c r="I53" s="120"/>
      <c r="J53" s="120"/>
      <c r="K53" s="126"/>
      <c r="L53" s="126"/>
      <c r="M53" s="127"/>
      <c r="N53" s="127"/>
      <c r="O53" s="120"/>
      <c r="P53" s="120"/>
      <c r="Q53" s="120"/>
      <c r="R53" s="120"/>
      <c r="S53" s="128"/>
      <c r="T53" s="128"/>
      <c r="U53" s="120"/>
      <c r="V53" s="120"/>
      <c r="W53" s="120"/>
      <c r="X53" s="129"/>
      <c r="Y53" s="119"/>
      <c r="Z53" s="119"/>
      <c r="AA53" s="120"/>
      <c r="AB53" s="120"/>
      <c r="AC53" s="120"/>
      <c r="AD53" s="120"/>
      <c r="AE53" s="120"/>
      <c r="AF53" s="129"/>
      <c r="AG53" s="119"/>
      <c r="AH53" s="119"/>
      <c r="AI53" s="120"/>
      <c r="AJ53" s="120"/>
    </row>
    <row r="54" spans="1:36" x14ac:dyDescent="0.35">
      <c r="A54" s="48">
        <v>10</v>
      </c>
      <c r="B54" s="9" t="s">
        <v>56</v>
      </c>
      <c r="C54" s="9" t="s">
        <v>57</v>
      </c>
      <c r="D54" s="9" t="s">
        <v>76</v>
      </c>
      <c r="E54" s="120"/>
      <c r="F54" s="120"/>
      <c r="G54" s="120"/>
      <c r="H54" s="120"/>
      <c r="I54" s="120"/>
      <c r="J54" s="120"/>
      <c r="K54" s="126"/>
      <c r="L54" s="126"/>
      <c r="M54" s="127"/>
      <c r="N54" s="127"/>
      <c r="O54" s="130"/>
      <c r="P54" s="130"/>
      <c r="Q54" s="120"/>
      <c r="R54" s="120"/>
      <c r="S54" s="128"/>
      <c r="T54" s="128"/>
      <c r="U54" s="120"/>
      <c r="V54" s="120"/>
      <c r="W54" s="120"/>
      <c r="X54" s="129"/>
      <c r="Y54" s="119"/>
      <c r="Z54" s="119"/>
      <c r="AA54" s="120"/>
      <c r="AB54" s="120"/>
      <c r="AC54" s="120"/>
      <c r="AD54" s="120"/>
      <c r="AE54" s="120"/>
      <c r="AF54" s="129"/>
      <c r="AG54" s="119"/>
      <c r="AH54" s="119"/>
      <c r="AI54" s="120"/>
      <c r="AJ54" s="120"/>
    </row>
    <row r="55" spans="1:36" x14ac:dyDescent="0.35">
      <c r="A55" s="48">
        <v>11</v>
      </c>
      <c r="B55" s="9" t="s">
        <v>58</v>
      </c>
      <c r="C55" s="9" t="s">
        <v>59</v>
      </c>
      <c r="D55" s="9" t="s">
        <v>77</v>
      </c>
      <c r="E55" s="131"/>
      <c r="F55" s="131"/>
      <c r="G55" s="131"/>
      <c r="M55" s="127"/>
      <c r="N55" s="127"/>
      <c r="O55" s="133"/>
      <c r="P55" s="133"/>
      <c r="Q55" s="120"/>
      <c r="R55" s="120"/>
      <c r="S55" s="128"/>
      <c r="T55" s="128"/>
      <c r="U55" s="120"/>
      <c r="V55" s="120"/>
      <c r="W55" s="120"/>
      <c r="X55" s="129"/>
      <c r="Y55" s="119"/>
      <c r="Z55" s="119"/>
      <c r="AA55" s="120"/>
      <c r="AB55" s="120"/>
      <c r="AC55" s="120"/>
      <c r="AD55" s="120"/>
      <c r="AE55" s="120"/>
      <c r="AF55" s="129"/>
      <c r="AG55" s="119"/>
      <c r="AH55" s="119"/>
      <c r="AI55" s="120"/>
      <c r="AJ55" s="120"/>
    </row>
    <row r="56" spans="1:36" ht="15" thickBot="1" x14ac:dyDescent="0.4">
      <c r="A56" s="51">
        <v>12</v>
      </c>
      <c r="B56" s="52" t="s">
        <v>60</v>
      </c>
      <c r="C56" s="52" t="s">
        <v>61</v>
      </c>
      <c r="D56" s="9" t="s">
        <v>78</v>
      </c>
      <c r="E56" s="131"/>
      <c r="F56" s="131"/>
      <c r="G56" s="131"/>
      <c r="H56" s="11"/>
      <c r="I56" s="11"/>
      <c r="J56" s="11"/>
      <c r="M56" s="127"/>
      <c r="N56" s="127"/>
      <c r="O56" s="133"/>
      <c r="P56" s="133"/>
      <c r="Q56" s="120"/>
      <c r="R56" s="120"/>
      <c r="S56" s="128"/>
      <c r="T56" s="128"/>
      <c r="U56" s="120"/>
      <c r="V56" s="120"/>
      <c r="W56" s="120"/>
      <c r="X56" s="129"/>
      <c r="Y56" s="119"/>
      <c r="Z56" s="119"/>
      <c r="AA56" s="120"/>
      <c r="AB56" s="120"/>
      <c r="AC56" s="120"/>
      <c r="AD56" s="120"/>
      <c r="AE56" s="120"/>
      <c r="AF56" s="129"/>
      <c r="AG56" s="119"/>
      <c r="AH56" s="119"/>
      <c r="AI56" s="120"/>
      <c r="AJ56" s="120"/>
    </row>
    <row r="57" spans="1:36" x14ac:dyDescent="0.35">
      <c r="B57" s="4"/>
      <c r="E57" s="134"/>
      <c r="F57" s="134"/>
      <c r="G57" s="134"/>
      <c r="H57" s="11"/>
      <c r="I57" s="11"/>
      <c r="J57" s="11"/>
      <c r="M57" s="127"/>
      <c r="N57" s="127"/>
      <c r="O57" s="133"/>
      <c r="P57" s="133"/>
      <c r="Q57" s="120"/>
      <c r="R57" s="120"/>
      <c r="S57" s="128"/>
      <c r="T57" s="128"/>
      <c r="U57" s="120"/>
      <c r="V57" s="120"/>
      <c r="W57" s="120"/>
      <c r="X57" s="129"/>
      <c r="Y57" s="119"/>
      <c r="Z57" s="119"/>
      <c r="AA57" s="120"/>
      <c r="AB57" s="120"/>
      <c r="AC57" s="120"/>
      <c r="AD57" s="120"/>
      <c r="AE57" s="120"/>
      <c r="AF57" s="129"/>
      <c r="AG57" s="119"/>
      <c r="AH57" s="119"/>
      <c r="AI57" s="120"/>
      <c r="AJ57" s="120"/>
    </row>
    <row r="58" spans="1:36" x14ac:dyDescent="0.35">
      <c r="E58" s="134"/>
      <c r="F58" s="134"/>
      <c r="G58" s="134"/>
      <c r="H58" s="11"/>
      <c r="I58" s="11"/>
      <c r="J58" s="11"/>
      <c r="M58" s="127"/>
      <c r="N58" s="127"/>
      <c r="O58" s="133"/>
      <c r="P58" s="133"/>
      <c r="Q58" s="135"/>
      <c r="R58" s="135"/>
      <c r="S58" s="136"/>
      <c r="T58" s="136"/>
      <c r="U58" s="120"/>
      <c r="V58" s="120"/>
      <c r="W58" s="120"/>
      <c r="X58" s="129"/>
      <c r="Y58" s="119"/>
      <c r="Z58" s="119"/>
      <c r="AA58" s="120"/>
      <c r="AB58" s="120"/>
      <c r="AC58" s="120"/>
      <c r="AD58" s="120"/>
      <c r="AE58" s="120"/>
      <c r="AF58" s="129"/>
      <c r="AG58" s="119"/>
      <c r="AH58" s="119"/>
      <c r="AI58" s="120"/>
      <c r="AJ58" s="120"/>
    </row>
    <row r="59" spans="1:36" s="9" customFormat="1" x14ac:dyDescent="0.35">
      <c r="A59" s="173"/>
      <c r="B59" s="173"/>
      <c r="C59" s="173"/>
      <c r="E59" s="134"/>
      <c r="F59" s="134"/>
      <c r="G59" s="134"/>
      <c r="H59" s="11"/>
      <c r="I59" s="11"/>
      <c r="J59" s="11"/>
      <c r="K59" s="132"/>
      <c r="L59" s="132"/>
      <c r="M59" s="127"/>
      <c r="N59" s="127"/>
      <c r="O59" s="133"/>
      <c r="P59" s="133"/>
      <c r="Q59" s="120"/>
      <c r="R59" s="120"/>
      <c r="S59" s="128"/>
      <c r="T59" s="128"/>
      <c r="U59" s="120"/>
      <c r="V59" s="120"/>
      <c r="W59" s="120"/>
      <c r="X59" s="129"/>
      <c r="Y59" s="119"/>
      <c r="Z59" s="119"/>
      <c r="AA59" s="120"/>
      <c r="AB59" s="120"/>
      <c r="AC59" s="120"/>
      <c r="AD59" s="120"/>
      <c r="AE59" s="120"/>
      <c r="AF59" s="129"/>
      <c r="AG59" s="119"/>
      <c r="AH59" s="119"/>
      <c r="AI59" s="120"/>
      <c r="AJ59" s="120"/>
    </row>
    <row r="60" spans="1:36" s="9" customFormat="1" x14ac:dyDescent="0.35">
      <c r="E60" s="137"/>
      <c r="F60" s="137"/>
      <c r="G60" s="137"/>
      <c r="H60" s="11"/>
      <c r="I60" s="11"/>
      <c r="J60" s="11"/>
      <c r="K60" s="132"/>
      <c r="L60" s="132"/>
      <c r="M60" s="127"/>
      <c r="N60" s="127"/>
      <c r="O60" s="135"/>
      <c r="P60" s="135"/>
      <c r="Q60" s="120"/>
      <c r="R60" s="120"/>
      <c r="S60" s="128"/>
      <c r="T60" s="128"/>
      <c r="X60" s="138"/>
      <c r="Y60" s="122"/>
      <c r="Z60" s="122"/>
      <c r="AC60" s="120"/>
      <c r="AD60" s="120"/>
      <c r="AE60" s="120"/>
      <c r="AF60" s="129"/>
      <c r="AG60" s="119"/>
      <c r="AH60" s="119"/>
      <c r="AI60" s="120"/>
      <c r="AJ60" s="120"/>
    </row>
    <row r="61" spans="1:36" s="9" customFormat="1" x14ac:dyDescent="0.35">
      <c r="A61" s="40"/>
      <c r="B61" s="122"/>
      <c r="C61" s="134"/>
      <c r="K61" s="132"/>
      <c r="L61" s="132"/>
      <c r="M61" s="139"/>
      <c r="N61" s="139"/>
      <c r="O61" s="140"/>
      <c r="P61" s="140"/>
      <c r="S61" s="141"/>
      <c r="T61" s="141"/>
      <c r="X61" s="138"/>
      <c r="Y61" s="122"/>
      <c r="Z61" s="122"/>
      <c r="AF61" s="138"/>
      <c r="AG61" s="122"/>
      <c r="AH61" s="122"/>
    </row>
    <row r="62" spans="1:36" s="9" customFormat="1" x14ac:dyDescent="0.35">
      <c r="A62" s="40"/>
      <c r="B62" s="122"/>
      <c r="C62" s="134"/>
      <c r="K62" s="132"/>
      <c r="L62" s="132"/>
      <c r="M62" s="139"/>
      <c r="N62" s="139"/>
      <c r="O62" s="142"/>
      <c r="P62" s="142"/>
      <c r="S62" s="141"/>
      <c r="T62" s="141"/>
      <c r="X62" s="138"/>
      <c r="Y62" s="122"/>
      <c r="Z62" s="122"/>
      <c r="AF62" s="138"/>
      <c r="AG62" s="122"/>
      <c r="AH62" s="122"/>
    </row>
    <row r="63" spans="1:36" s="9" customFormat="1" x14ac:dyDescent="0.35">
      <c r="A63" s="40"/>
      <c r="B63" s="122"/>
      <c r="C63" s="134"/>
      <c r="D63" s="131"/>
      <c r="K63" s="132"/>
      <c r="L63" s="132"/>
      <c r="M63" s="139"/>
      <c r="N63" s="139"/>
      <c r="O63" s="142"/>
      <c r="P63" s="142"/>
      <c r="S63" s="141"/>
      <c r="T63" s="141"/>
      <c r="X63" s="138"/>
      <c r="Y63" s="122"/>
      <c r="Z63" s="122"/>
      <c r="AF63" s="138"/>
      <c r="AG63" s="122"/>
      <c r="AH63" s="122"/>
    </row>
    <row r="64" spans="1:36" s="9" customFormat="1" x14ac:dyDescent="0.35">
      <c r="A64" s="40"/>
      <c r="B64" s="122"/>
      <c r="C64" s="134"/>
      <c r="D64" s="131"/>
      <c r="K64" s="132"/>
      <c r="L64" s="132"/>
      <c r="M64" s="139"/>
      <c r="N64" s="139"/>
      <c r="O64" s="140"/>
      <c r="P64" s="140"/>
      <c r="S64" s="141"/>
      <c r="T64" s="141"/>
      <c r="X64" s="138"/>
      <c r="Y64" s="122"/>
      <c r="Z64" s="122"/>
      <c r="AF64" s="138"/>
      <c r="AG64" s="122"/>
      <c r="AH64" s="122"/>
    </row>
    <row r="65" spans="1:34" s="9" customFormat="1" x14ac:dyDescent="0.35">
      <c r="A65" s="40"/>
      <c r="B65" s="122"/>
      <c r="C65" s="134"/>
      <c r="D65" s="134"/>
      <c r="K65" s="132"/>
      <c r="L65" s="132"/>
      <c r="M65" s="139"/>
      <c r="N65" s="139"/>
      <c r="O65" s="140"/>
      <c r="P65" s="140"/>
      <c r="S65" s="141"/>
      <c r="T65" s="141"/>
      <c r="X65" s="138"/>
      <c r="Y65" s="122"/>
      <c r="Z65" s="122"/>
    </row>
    <row r="66" spans="1:34" s="9" customFormat="1" x14ac:dyDescent="0.35">
      <c r="A66" s="40"/>
      <c r="B66" s="122"/>
      <c r="C66" s="134"/>
      <c r="D66" s="134"/>
      <c r="K66" s="132"/>
      <c r="L66" s="132"/>
      <c r="M66" s="139"/>
      <c r="N66" s="139"/>
      <c r="S66" s="141"/>
      <c r="T66" s="141"/>
      <c r="X66" s="138"/>
      <c r="Y66" s="122"/>
      <c r="Z66" s="122"/>
    </row>
    <row r="67" spans="1:34" s="9" customFormat="1" x14ac:dyDescent="0.35">
      <c r="B67" s="137"/>
      <c r="D67" s="134"/>
      <c r="K67" s="132"/>
      <c r="L67" s="132"/>
      <c r="M67" s="139"/>
      <c r="N67" s="139"/>
      <c r="S67" s="141"/>
      <c r="T67" s="141"/>
      <c r="X67" s="138"/>
      <c r="Y67" s="122"/>
      <c r="Z67" s="122"/>
    </row>
    <row r="68" spans="1:34" x14ac:dyDescent="0.35">
      <c r="A68" s="16"/>
      <c r="D68" s="137"/>
      <c r="AF68" s="9"/>
      <c r="AG68" s="9"/>
      <c r="AH68" s="9"/>
    </row>
    <row r="69" spans="1:34" x14ac:dyDescent="0.35">
      <c r="A69" s="1"/>
      <c r="AF69" s="9"/>
      <c r="AG69" s="9"/>
      <c r="AH69" s="9"/>
    </row>
    <row r="70" spans="1:34" x14ac:dyDescent="0.35">
      <c r="C70" s="14"/>
      <c r="AF70" s="9"/>
      <c r="AG70" s="9"/>
      <c r="AH70" s="9"/>
    </row>
    <row r="71" spans="1:34" x14ac:dyDescent="0.35">
      <c r="C71" s="14"/>
      <c r="AF71" s="9"/>
      <c r="AG71" s="9"/>
      <c r="AH71" s="9"/>
    </row>
    <row r="72" spans="1:34" x14ac:dyDescent="0.35">
      <c r="B72" s="1"/>
      <c r="C72" s="14"/>
      <c r="AF72" s="9"/>
      <c r="AG72" s="9"/>
      <c r="AH72" s="9"/>
    </row>
    <row r="73" spans="1:34" x14ac:dyDescent="0.35">
      <c r="C73" s="14"/>
      <c r="AF73" s="9"/>
      <c r="AG73" s="9"/>
      <c r="AH73" s="9"/>
    </row>
    <row r="74" spans="1:34" x14ac:dyDescent="0.35">
      <c r="B74" s="13"/>
      <c r="C74" s="14"/>
      <c r="AF74" s="9"/>
      <c r="AG74" s="9"/>
      <c r="AH74" s="9"/>
    </row>
    <row r="75" spans="1:34" x14ac:dyDescent="0.35">
      <c r="B75" s="13"/>
      <c r="AF75" s="9"/>
      <c r="AG75" s="9"/>
      <c r="AH75" s="9"/>
    </row>
    <row r="76" spans="1:34" x14ac:dyDescent="0.35">
      <c r="B76" s="13"/>
      <c r="AF76" s="9"/>
      <c r="AG76" s="9"/>
      <c r="AH76" s="9"/>
    </row>
    <row r="77" spans="1:34" x14ac:dyDescent="0.35">
      <c r="B77" s="13"/>
      <c r="AF77" s="9"/>
      <c r="AG77" s="9"/>
      <c r="AH77" s="9"/>
    </row>
    <row r="78" spans="1:34" x14ac:dyDescent="0.35">
      <c r="B78" s="13"/>
      <c r="AF78" s="9"/>
      <c r="AG78" s="9"/>
      <c r="AH78" s="9"/>
    </row>
    <row r="79" spans="1:34" x14ac:dyDescent="0.35">
      <c r="AF79" s="9"/>
      <c r="AG79" s="9"/>
      <c r="AH79" s="9"/>
    </row>
    <row r="80" spans="1:34" x14ac:dyDescent="0.35">
      <c r="AF80" s="9"/>
      <c r="AG80" s="9"/>
      <c r="AH80" s="9"/>
    </row>
    <row r="81" spans="14:34" x14ac:dyDescent="0.35">
      <c r="N81" s="9"/>
      <c r="S81" s="9"/>
      <c r="T81" s="9"/>
      <c r="X81" s="9"/>
      <c r="Y81" s="9"/>
      <c r="Z81" s="9"/>
      <c r="AF81" s="9"/>
      <c r="AG81" s="9"/>
      <c r="AH81" s="9"/>
    </row>
    <row r="82" spans="14:34" x14ac:dyDescent="0.35">
      <c r="N82" s="9"/>
      <c r="S82" s="9"/>
      <c r="T82" s="9"/>
      <c r="X82" s="9"/>
      <c r="Y82" s="9"/>
      <c r="Z82" s="9"/>
      <c r="AF82" s="9"/>
      <c r="AG82" s="9"/>
      <c r="AH82" s="9"/>
    </row>
    <row r="83" spans="14:34" x14ac:dyDescent="0.35">
      <c r="N83" s="9"/>
      <c r="S83" s="9"/>
      <c r="T83" s="9"/>
      <c r="X83" s="9"/>
      <c r="Y83" s="9"/>
      <c r="Z83" s="9"/>
      <c r="AF83" s="9"/>
      <c r="AG83" s="9"/>
      <c r="AH83" s="9"/>
    </row>
    <row r="84" spans="14:34" x14ac:dyDescent="0.35">
      <c r="N84" s="9"/>
      <c r="S84" s="9"/>
      <c r="T84" s="9"/>
      <c r="X84" s="9"/>
      <c r="Y84" s="9"/>
      <c r="Z84" s="9"/>
      <c r="AF84" s="9"/>
      <c r="AG84" s="9"/>
      <c r="AH84" s="9"/>
    </row>
    <row r="85" spans="14:34" x14ac:dyDescent="0.35">
      <c r="N85" s="9"/>
      <c r="S85" s="9"/>
      <c r="T85" s="9"/>
      <c r="X85" s="9"/>
      <c r="Y85" s="9"/>
      <c r="Z85" s="9"/>
      <c r="AF85" s="9"/>
      <c r="AG85" s="9"/>
      <c r="AH85" s="9"/>
    </row>
    <row r="86" spans="14:34" x14ac:dyDescent="0.35">
      <c r="N86" s="9"/>
      <c r="S86" s="9"/>
      <c r="T86" s="9"/>
      <c r="X86" s="9"/>
      <c r="Y86" s="9"/>
      <c r="Z86" s="9"/>
      <c r="AF86" s="9"/>
      <c r="AG86" s="9"/>
      <c r="AH86" s="9"/>
    </row>
    <row r="87" spans="14:34" x14ac:dyDescent="0.35">
      <c r="N87" s="9"/>
      <c r="S87" s="9"/>
      <c r="T87" s="9"/>
      <c r="X87" s="9"/>
      <c r="Y87" s="9"/>
      <c r="Z87" s="9"/>
      <c r="AF87" s="9"/>
      <c r="AG87" s="9"/>
      <c r="AH87" s="9"/>
    </row>
    <row r="88" spans="14:34" x14ac:dyDescent="0.35">
      <c r="N88" s="9"/>
      <c r="S88" s="9"/>
      <c r="T88" s="9"/>
      <c r="X88" s="9"/>
      <c r="Y88" s="9"/>
      <c r="Z88" s="9"/>
      <c r="AF88" s="9"/>
      <c r="AG88" s="9"/>
      <c r="AH88" s="9"/>
    </row>
    <row r="89" spans="14:34" x14ac:dyDescent="0.35">
      <c r="N89" s="9"/>
      <c r="S89" s="9"/>
      <c r="T89" s="9"/>
      <c r="X89" s="9"/>
      <c r="Y89" s="9"/>
      <c r="Z89" s="9"/>
      <c r="AF89" s="9"/>
      <c r="AG89" s="9"/>
      <c r="AH89" s="9"/>
    </row>
    <row r="90" spans="14:34" x14ac:dyDescent="0.35">
      <c r="N90" s="9"/>
      <c r="S90" s="9"/>
      <c r="T90" s="9"/>
      <c r="X90" s="9"/>
      <c r="Y90" s="9"/>
      <c r="Z90" s="9"/>
      <c r="AF90" s="9"/>
      <c r="AG90" s="9"/>
      <c r="AH90" s="9"/>
    </row>
    <row r="91" spans="14:34" x14ac:dyDescent="0.35">
      <c r="N91" s="9"/>
      <c r="S91" s="9"/>
      <c r="T91" s="9"/>
      <c r="X91" s="9"/>
      <c r="Y91" s="9"/>
      <c r="Z91" s="9"/>
      <c r="AF91" s="9"/>
      <c r="AG91" s="9"/>
      <c r="AH91" s="9"/>
    </row>
    <row r="92" spans="14:34" x14ac:dyDescent="0.35">
      <c r="N92" s="9"/>
      <c r="S92" s="9"/>
      <c r="T92" s="9"/>
      <c r="X92" s="9"/>
      <c r="Y92" s="9"/>
      <c r="Z92" s="9"/>
      <c r="AF92" s="9"/>
      <c r="AG92" s="9"/>
      <c r="AH92" s="9"/>
    </row>
    <row r="93" spans="14:34" x14ac:dyDescent="0.35">
      <c r="N93" s="9"/>
      <c r="S93" s="9"/>
      <c r="T93" s="9"/>
      <c r="X93" s="9"/>
      <c r="Y93" s="9"/>
      <c r="Z93" s="9"/>
      <c r="AF93" s="9"/>
      <c r="AG93" s="9"/>
      <c r="AH93" s="9"/>
    </row>
    <row r="94" spans="14:34" x14ac:dyDescent="0.35">
      <c r="N94" s="9"/>
      <c r="S94" s="9"/>
      <c r="T94" s="9"/>
      <c r="X94" s="9"/>
      <c r="Y94" s="9"/>
      <c r="Z94" s="9"/>
      <c r="AF94" s="9"/>
      <c r="AG94" s="9"/>
      <c r="AH94" s="9"/>
    </row>
    <row r="95" spans="14:34" x14ac:dyDescent="0.35">
      <c r="N95" s="9"/>
      <c r="S95" s="9"/>
      <c r="T95" s="9"/>
      <c r="X95" s="9"/>
      <c r="Y95" s="9"/>
      <c r="Z95" s="9"/>
      <c r="AF95" s="9"/>
      <c r="AG95" s="9"/>
      <c r="AH95" s="9"/>
    </row>
    <row r="96" spans="14:34" x14ac:dyDescent="0.35">
      <c r="N96" s="9"/>
      <c r="S96" s="9"/>
      <c r="T96" s="9"/>
      <c r="X96" s="9"/>
      <c r="Y96" s="9"/>
      <c r="Z96" s="9"/>
      <c r="AF96" s="9"/>
      <c r="AG96" s="9"/>
      <c r="AH96" s="9"/>
    </row>
    <row r="97" spans="14:34" x14ac:dyDescent="0.35">
      <c r="N97" s="9"/>
      <c r="S97" s="9"/>
      <c r="T97" s="9"/>
      <c r="X97" s="9"/>
      <c r="Y97" s="9"/>
      <c r="Z97" s="9"/>
      <c r="AF97" s="9"/>
      <c r="AG97" s="9"/>
      <c r="AH97" s="9"/>
    </row>
    <row r="98" spans="14:34" x14ac:dyDescent="0.35">
      <c r="N98" s="9"/>
      <c r="S98" s="9"/>
      <c r="T98" s="9"/>
      <c r="X98" s="9"/>
      <c r="Y98" s="9"/>
      <c r="Z98" s="9"/>
      <c r="AF98" s="9"/>
      <c r="AG98" s="9"/>
      <c r="AH98" s="9"/>
    </row>
    <row r="99" spans="14:34" x14ac:dyDescent="0.35">
      <c r="N99" s="9"/>
      <c r="S99" s="9"/>
      <c r="T99" s="9"/>
      <c r="X99" s="9"/>
      <c r="Y99" s="9"/>
      <c r="Z99" s="9"/>
      <c r="AF99" s="9"/>
      <c r="AG99" s="9"/>
      <c r="AH99" s="9"/>
    </row>
    <row r="100" spans="14:34" x14ac:dyDescent="0.35">
      <c r="N100" s="9"/>
      <c r="S100" s="9"/>
      <c r="T100" s="9"/>
      <c r="X100" s="9"/>
      <c r="Y100" s="9"/>
      <c r="Z100" s="9"/>
      <c r="AF100" s="9"/>
      <c r="AG100" s="9"/>
      <c r="AH100" s="9"/>
    </row>
    <row r="101" spans="14:34" x14ac:dyDescent="0.35">
      <c r="N101" s="9"/>
      <c r="S101" s="9"/>
      <c r="T101" s="9"/>
      <c r="X101" s="9"/>
      <c r="Y101" s="9"/>
      <c r="Z101" s="9"/>
      <c r="AF101" s="9"/>
      <c r="AG101" s="9"/>
      <c r="AH101" s="9"/>
    </row>
    <row r="102" spans="14:34" x14ac:dyDescent="0.35">
      <c r="N102" s="9"/>
      <c r="S102" s="9"/>
      <c r="T102" s="9"/>
      <c r="X102" s="9"/>
      <c r="Y102" s="9"/>
      <c r="Z102" s="9"/>
      <c r="AF102" s="9"/>
      <c r="AG102" s="9"/>
      <c r="AH102" s="9"/>
    </row>
    <row r="103" spans="14:34" x14ac:dyDescent="0.35">
      <c r="N103" s="9"/>
      <c r="S103" s="9"/>
      <c r="T103" s="9"/>
      <c r="X103" s="9"/>
      <c r="Y103" s="9"/>
      <c r="Z103" s="9"/>
      <c r="AF103" s="9"/>
      <c r="AG103" s="9"/>
      <c r="AH103" s="9"/>
    </row>
    <row r="104" spans="14:34" x14ac:dyDescent="0.35">
      <c r="N104" s="9"/>
      <c r="S104" s="9"/>
      <c r="T104" s="9"/>
      <c r="X104" s="9"/>
      <c r="Y104" s="9"/>
      <c r="Z104" s="9"/>
      <c r="AF104" s="9"/>
      <c r="AG104" s="9"/>
      <c r="AH104" s="9"/>
    </row>
    <row r="105" spans="14:34" x14ac:dyDescent="0.35">
      <c r="N105" s="9"/>
      <c r="S105" s="9"/>
      <c r="T105" s="9"/>
      <c r="X105" s="9"/>
      <c r="Y105" s="9"/>
      <c r="Z105" s="9"/>
      <c r="AF105" s="9"/>
      <c r="AG105" s="9"/>
      <c r="AH105" s="9"/>
    </row>
    <row r="106" spans="14:34" x14ac:dyDescent="0.35">
      <c r="N106" s="9"/>
      <c r="S106" s="9"/>
      <c r="T106" s="9"/>
      <c r="X106" s="9"/>
      <c r="Y106" s="9"/>
      <c r="Z106" s="9"/>
      <c r="AF106" s="9"/>
      <c r="AG106" s="9"/>
      <c r="AH106" s="9"/>
    </row>
    <row r="107" spans="14:34" x14ac:dyDescent="0.35">
      <c r="N107" s="9"/>
      <c r="S107" s="9"/>
      <c r="T107" s="9"/>
      <c r="X107" s="9"/>
      <c r="Y107" s="9"/>
      <c r="Z107" s="9"/>
      <c r="AF107" s="9"/>
      <c r="AG107" s="9"/>
      <c r="AH107" s="9"/>
    </row>
    <row r="108" spans="14:34" x14ac:dyDescent="0.35">
      <c r="N108" s="9"/>
      <c r="S108" s="9"/>
      <c r="T108" s="9"/>
      <c r="X108" s="9"/>
      <c r="Y108" s="9"/>
      <c r="Z108" s="9"/>
      <c r="AF108" s="9"/>
      <c r="AG108" s="9"/>
      <c r="AH108" s="9"/>
    </row>
    <row r="109" spans="14:34" x14ac:dyDescent="0.35">
      <c r="N109" s="9"/>
      <c r="S109" s="9"/>
      <c r="T109" s="9"/>
      <c r="X109" s="9"/>
      <c r="Y109" s="9"/>
      <c r="Z109" s="9"/>
      <c r="AF109" s="9"/>
      <c r="AG109" s="9"/>
      <c r="AH109" s="9"/>
    </row>
    <row r="110" spans="14:34" x14ac:dyDescent="0.35">
      <c r="N110" s="9"/>
      <c r="S110" s="9"/>
      <c r="T110" s="9"/>
      <c r="X110" s="9"/>
      <c r="Y110" s="9"/>
      <c r="Z110" s="9"/>
      <c r="AF110" s="9"/>
      <c r="AG110" s="9"/>
      <c r="AH110" s="9"/>
    </row>
    <row r="111" spans="14:34" x14ac:dyDescent="0.35">
      <c r="N111" s="9"/>
      <c r="S111" s="9"/>
      <c r="T111" s="9"/>
      <c r="X111" s="9"/>
      <c r="Y111" s="9"/>
      <c r="Z111" s="9"/>
      <c r="AF111" s="9"/>
      <c r="AG111" s="9"/>
      <c r="AH111" s="9"/>
    </row>
    <row r="112" spans="14:34" x14ac:dyDescent="0.35">
      <c r="N112" s="9"/>
      <c r="S112" s="9"/>
      <c r="T112" s="9"/>
      <c r="X112" s="9"/>
      <c r="Y112" s="9"/>
      <c r="Z112" s="9"/>
      <c r="AF112" s="9"/>
      <c r="AG112" s="9"/>
      <c r="AH112" s="9"/>
    </row>
    <row r="113" spans="14:34" x14ac:dyDescent="0.35">
      <c r="N113" s="9"/>
      <c r="S113" s="9"/>
      <c r="T113" s="9"/>
      <c r="X113" s="9"/>
      <c r="Y113" s="9"/>
      <c r="Z113" s="9"/>
      <c r="AF113" s="9"/>
      <c r="AG113" s="9"/>
      <c r="AH113" s="9"/>
    </row>
    <row r="114" spans="14:34" x14ac:dyDescent="0.35">
      <c r="N114" s="9"/>
      <c r="S114" s="9"/>
      <c r="T114" s="9"/>
      <c r="X114" s="9"/>
      <c r="Y114" s="9"/>
      <c r="Z114" s="9"/>
      <c r="AF114" s="9"/>
      <c r="AG114" s="9"/>
      <c r="AH114" s="9"/>
    </row>
    <row r="115" spans="14:34" x14ac:dyDescent="0.35">
      <c r="N115" s="9"/>
      <c r="S115" s="9"/>
      <c r="T115" s="9"/>
      <c r="X115" s="9"/>
      <c r="Y115" s="9"/>
      <c r="Z115" s="9"/>
      <c r="AF115" s="9"/>
      <c r="AG115" s="9"/>
      <c r="AH115" s="9"/>
    </row>
    <row r="116" spans="14:34" x14ac:dyDescent="0.35">
      <c r="N116" s="9"/>
      <c r="S116" s="9"/>
      <c r="T116" s="9"/>
      <c r="X116" s="9"/>
      <c r="Y116" s="9"/>
      <c r="Z116" s="9"/>
      <c r="AF116" s="9"/>
      <c r="AG116" s="9"/>
      <c r="AH116" s="9"/>
    </row>
    <row r="117" spans="14:34" x14ac:dyDescent="0.35">
      <c r="N117" s="9"/>
      <c r="S117" s="9"/>
      <c r="T117" s="9"/>
      <c r="X117" s="9"/>
      <c r="Y117" s="9"/>
      <c r="Z117" s="9"/>
      <c r="AF117" s="9"/>
      <c r="AG117" s="9"/>
      <c r="AH117" s="9"/>
    </row>
    <row r="118" spans="14:34" x14ac:dyDescent="0.35">
      <c r="N118" s="9"/>
      <c r="S118" s="9"/>
      <c r="T118" s="9"/>
      <c r="X118" s="9"/>
      <c r="Y118" s="9"/>
      <c r="Z118" s="9"/>
      <c r="AF118" s="9"/>
      <c r="AG118" s="9"/>
      <c r="AH118" s="9"/>
    </row>
    <row r="119" spans="14:34" x14ac:dyDescent="0.35">
      <c r="N119" s="9"/>
      <c r="S119" s="9"/>
      <c r="T119" s="9"/>
      <c r="X119" s="9"/>
      <c r="Y119" s="9"/>
      <c r="Z119" s="9"/>
      <c r="AF119" s="9"/>
      <c r="AG119" s="9"/>
      <c r="AH119" s="9"/>
    </row>
    <row r="120" spans="14:34" x14ac:dyDescent="0.35">
      <c r="N120" s="9"/>
      <c r="S120" s="9"/>
      <c r="T120" s="9"/>
      <c r="X120" s="9"/>
      <c r="Y120" s="9"/>
      <c r="Z120" s="9"/>
      <c r="AF120" s="9"/>
      <c r="AG120" s="9"/>
      <c r="AH120" s="9"/>
    </row>
    <row r="121" spans="14:34" x14ac:dyDescent="0.35">
      <c r="N121" s="9"/>
      <c r="S121" s="9"/>
      <c r="T121" s="9"/>
      <c r="X121" s="9"/>
      <c r="Y121" s="9"/>
      <c r="Z121" s="9"/>
      <c r="AF121" s="9"/>
      <c r="AG121" s="9"/>
      <c r="AH121" s="9"/>
    </row>
    <row r="122" spans="14:34" x14ac:dyDescent="0.35">
      <c r="N122" s="9"/>
      <c r="S122" s="9"/>
      <c r="T122" s="9"/>
      <c r="X122" s="9"/>
      <c r="Y122" s="9"/>
      <c r="Z122" s="9"/>
      <c r="AF122" s="9"/>
      <c r="AG122" s="9"/>
      <c r="AH122" s="9"/>
    </row>
    <row r="123" spans="14:34" x14ac:dyDescent="0.35">
      <c r="N123" s="9"/>
      <c r="S123" s="9"/>
      <c r="T123" s="9"/>
      <c r="X123" s="9"/>
      <c r="Y123" s="9"/>
      <c r="Z123" s="9"/>
      <c r="AF123" s="9"/>
      <c r="AG123" s="9"/>
      <c r="AH123" s="9"/>
    </row>
    <row r="124" spans="14:34" x14ac:dyDescent="0.35">
      <c r="N124" s="9"/>
      <c r="S124" s="9"/>
      <c r="T124" s="9"/>
      <c r="X124" s="9"/>
      <c r="Y124" s="9"/>
      <c r="Z124" s="9"/>
      <c r="AF124" s="9"/>
      <c r="AG124" s="9"/>
      <c r="AH124" s="9"/>
    </row>
    <row r="125" spans="14:34" x14ac:dyDescent="0.35">
      <c r="N125" s="9"/>
      <c r="S125" s="9"/>
      <c r="T125" s="9"/>
      <c r="X125" s="9"/>
      <c r="Y125" s="9"/>
      <c r="Z125" s="9"/>
      <c r="AF125" s="9"/>
      <c r="AG125" s="9"/>
      <c r="AH125" s="9"/>
    </row>
    <row r="126" spans="14:34" x14ac:dyDescent="0.35">
      <c r="N126" s="9"/>
      <c r="S126" s="9"/>
      <c r="T126" s="9"/>
      <c r="X126" s="9"/>
      <c r="Y126" s="9"/>
      <c r="Z126" s="9"/>
      <c r="AF126" s="9"/>
      <c r="AG126" s="9"/>
      <c r="AH126" s="9"/>
    </row>
    <row r="127" spans="14:34" x14ac:dyDescent="0.35">
      <c r="N127" s="9"/>
      <c r="S127" s="9"/>
      <c r="T127" s="9"/>
      <c r="X127" s="9"/>
      <c r="Y127" s="9"/>
      <c r="Z127" s="9"/>
      <c r="AF127" s="9"/>
      <c r="AG127" s="9"/>
      <c r="AH127" s="9"/>
    </row>
    <row r="128" spans="14:34" x14ac:dyDescent="0.35">
      <c r="N128" s="9"/>
      <c r="S128" s="9"/>
      <c r="T128" s="9"/>
      <c r="X128" s="9"/>
      <c r="Y128" s="9"/>
      <c r="Z128" s="9"/>
      <c r="AF128" s="9"/>
      <c r="AG128" s="9"/>
      <c r="AH128" s="9"/>
    </row>
    <row r="129" spans="14:34" x14ac:dyDescent="0.35">
      <c r="N129" s="9"/>
      <c r="S129" s="9"/>
      <c r="T129" s="9"/>
      <c r="X129" s="9"/>
      <c r="Y129" s="9"/>
      <c r="Z129" s="9"/>
      <c r="AF129" s="9"/>
      <c r="AG129" s="9"/>
      <c r="AH129" s="9"/>
    </row>
    <row r="130" spans="14:34" x14ac:dyDescent="0.35">
      <c r="N130" s="9"/>
      <c r="S130" s="9"/>
      <c r="T130" s="9"/>
      <c r="X130" s="9"/>
      <c r="Y130" s="9"/>
      <c r="Z130" s="9"/>
      <c r="AF130" s="9"/>
      <c r="AG130" s="9"/>
      <c r="AH130" s="9"/>
    </row>
    <row r="131" spans="14:34" x14ac:dyDescent="0.35">
      <c r="N131" s="9"/>
      <c r="S131" s="9"/>
      <c r="T131" s="9"/>
      <c r="X131" s="9"/>
      <c r="Y131" s="9"/>
      <c r="Z131" s="9"/>
      <c r="AF131" s="9"/>
      <c r="AG131" s="9"/>
      <c r="AH131" s="9"/>
    </row>
    <row r="132" spans="14:34" x14ac:dyDescent="0.35">
      <c r="N132" s="9"/>
      <c r="S132" s="9"/>
      <c r="T132" s="9"/>
      <c r="X132" s="9"/>
      <c r="Y132" s="9"/>
      <c r="Z132" s="9"/>
      <c r="AF132" s="9"/>
      <c r="AG132" s="9"/>
      <c r="AH132" s="9"/>
    </row>
    <row r="133" spans="14:34" x14ac:dyDescent="0.35">
      <c r="N133" s="9"/>
      <c r="S133" s="9"/>
      <c r="T133" s="9"/>
      <c r="X133" s="9"/>
      <c r="Y133" s="9"/>
      <c r="Z133" s="9"/>
      <c r="AF133" s="9"/>
      <c r="AG133" s="9"/>
      <c r="AH133" s="9"/>
    </row>
    <row r="134" spans="14:34" x14ac:dyDescent="0.35">
      <c r="N134" s="9"/>
      <c r="S134" s="9"/>
      <c r="T134" s="9"/>
      <c r="X134" s="9"/>
      <c r="Y134" s="9"/>
      <c r="Z134" s="9"/>
      <c r="AF134" s="9"/>
      <c r="AG134" s="9"/>
      <c r="AH134" s="9"/>
    </row>
    <row r="135" spans="14:34" x14ac:dyDescent="0.35">
      <c r="N135" s="9"/>
      <c r="S135" s="9"/>
      <c r="T135" s="9"/>
      <c r="X135" s="9"/>
      <c r="Y135" s="9"/>
      <c r="Z135" s="9"/>
      <c r="AF135" s="9"/>
      <c r="AG135" s="9"/>
      <c r="AH135" s="9"/>
    </row>
    <row r="136" spans="14:34" x14ac:dyDescent="0.35">
      <c r="N136" s="9"/>
      <c r="S136" s="9"/>
      <c r="T136" s="9"/>
      <c r="X136" s="9"/>
      <c r="Y136" s="9"/>
      <c r="Z136" s="9"/>
      <c r="AF136" s="9"/>
      <c r="AG136" s="9"/>
      <c r="AH136" s="9"/>
    </row>
    <row r="137" spans="14:34" x14ac:dyDescent="0.35">
      <c r="N137" s="9"/>
      <c r="S137" s="9"/>
      <c r="T137" s="9"/>
      <c r="X137" s="9"/>
      <c r="Y137" s="9"/>
      <c r="Z137" s="9"/>
      <c r="AF137" s="9"/>
      <c r="AG137" s="9"/>
      <c r="AH137" s="9"/>
    </row>
    <row r="138" spans="14:34" x14ac:dyDescent="0.35">
      <c r="N138" s="9"/>
      <c r="S138" s="9"/>
      <c r="T138" s="9"/>
      <c r="X138" s="9"/>
      <c r="Y138" s="9"/>
      <c r="Z138" s="9"/>
      <c r="AF138" s="9"/>
      <c r="AG138" s="9"/>
      <c r="AH138" s="9"/>
    </row>
    <row r="139" spans="14:34" x14ac:dyDescent="0.35">
      <c r="N139" s="9"/>
      <c r="S139" s="9"/>
      <c r="T139" s="9"/>
      <c r="X139" s="9"/>
      <c r="Y139" s="9"/>
      <c r="Z139" s="9"/>
      <c r="AF139" s="9"/>
      <c r="AG139" s="9"/>
      <c r="AH139" s="9"/>
    </row>
    <row r="140" spans="14:34" x14ac:dyDescent="0.35">
      <c r="N140" s="9"/>
      <c r="S140" s="9"/>
      <c r="T140" s="9"/>
      <c r="X140" s="9"/>
      <c r="Y140" s="9"/>
      <c r="Z140" s="9"/>
      <c r="AF140" s="9"/>
      <c r="AG140" s="9"/>
      <c r="AH140" s="9"/>
    </row>
    <row r="141" spans="14:34" x14ac:dyDescent="0.35">
      <c r="N141" s="9"/>
      <c r="S141" s="9"/>
      <c r="T141" s="9"/>
      <c r="X141" s="9"/>
      <c r="Y141" s="9"/>
      <c r="Z141" s="9"/>
      <c r="AF141" s="9"/>
      <c r="AG141" s="9"/>
      <c r="AH141" s="9"/>
    </row>
    <row r="142" spans="14:34" x14ac:dyDescent="0.35">
      <c r="N142" s="9"/>
      <c r="S142" s="9"/>
      <c r="T142" s="9"/>
      <c r="X142" s="9"/>
      <c r="Y142" s="9"/>
      <c r="Z142" s="9"/>
      <c r="AF142" s="9"/>
      <c r="AG142" s="9"/>
      <c r="AH142" s="9"/>
    </row>
    <row r="143" spans="14:34" x14ac:dyDescent="0.35">
      <c r="N143" s="9"/>
      <c r="S143" s="9"/>
      <c r="T143" s="9"/>
      <c r="X143" s="9"/>
      <c r="Y143" s="9"/>
      <c r="Z143" s="9"/>
      <c r="AF143" s="9"/>
      <c r="AG143" s="9"/>
      <c r="AH143" s="9"/>
    </row>
    <row r="144" spans="14:34" x14ac:dyDescent="0.35">
      <c r="N144" s="9"/>
      <c r="S144" s="9"/>
      <c r="T144" s="9"/>
      <c r="X144" s="9"/>
      <c r="Y144" s="9"/>
      <c r="Z144" s="9"/>
      <c r="AF144" s="9"/>
      <c r="AG144" s="9"/>
      <c r="AH144" s="9"/>
    </row>
    <row r="145" spans="14:34" x14ac:dyDescent="0.35">
      <c r="N145" s="9"/>
      <c r="S145" s="9"/>
      <c r="T145" s="9"/>
      <c r="X145" s="9"/>
      <c r="Y145" s="9"/>
      <c r="Z145" s="9"/>
      <c r="AF145" s="9"/>
      <c r="AG145" s="9"/>
      <c r="AH145" s="9"/>
    </row>
    <row r="146" spans="14:34" x14ac:dyDescent="0.35">
      <c r="N146" s="9"/>
      <c r="S146" s="9"/>
      <c r="T146" s="9"/>
      <c r="X146" s="9"/>
      <c r="Y146" s="9"/>
      <c r="Z146" s="9"/>
      <c r="AF146" s="9"/>
      <c r="AG146" s="9"/>
      <c r="AH146" s="9"/>
    </row>
    <row r="147" spans="14:34" x14ac:dyDescent="0.35">
      <c r="N147" s="9"/>
      <c r="S147" s="9"/>
      <c r="T147" s="9"/>
      <c r="X147" s="9"/>
      <c r="Y147" s="9"/>
      <c r="Z147" s="9"/>
      <c r="AF147" s="9"/>
      <c r="AG147" s="9"/>
      <c r="AH147" s="9"/>
    </row>
    <row r="148" spans="14:34" x14ac:dyDescent="0.35">
      <c r="N148" s="9"/>
      <c r="S148" s="9"/>
      <c r="T148" s="9"/>
      <c r="X148" s="9"/>
      <c r="Y148" s="9"/>
      <c r="Z148" s="9"/>
      <c r="AF148" s="9"/>
      <c r="AG148" s="9"/>
      <c r="AH148" s="9"/>
    </row>
    <row r="149" spans="14:34" x14ac:dyDescent="0.35">
      <c r="N149" s="9"/>
      <c r="S149" s="9"/>
      <c r="T149" s="9"/>
      <c r="X149" s="9"/>
      <c r="Y149" s="9"/>
      <c r="Z149" s="9"/>
      <c r="AF149" s="9"/>
      <c r="AG149" s="9"/>
      <c r="AH149" s="9"/>
    </row>
    <row r="150" spans="14:34" x14ac:dyDescent="0.35">
      <c r="N150" s="9"/>
      <c r="S150" s="9"/>
      <c r="T150" s="9"/>
      <c r="X150" s="9"/>
      <c r="Y150" s="9"/>
      <c r="Z150" s="9"/>
      <c r="AF150" s="9"/>
      <c r="AG150" s="9"/>
      <c r="AH150" s="9"/>
    </row>
    <row r="151" spans="14:34" x14ac:dyDescent="0.35">
      <c r="N151" s="9"/>
      <c r="S151" s="9"/>
      <c r="T151" s="9"/>
      <c r="X151" s="9"/>
      <c r="Y151" s="9"/>
      <c r="Z151" s="9"/>
      <c r="AF151" s="9"/>
      <c r="AG151" s="9"/>
      <c r="AH151" s="9"/>
    </row>
    <row r="152" spans="14:34" x14ac:dyDescent="0.35">
      <c r="N152" s="9"/>
      <c r="S152" s="9"/>
      <c r="T152" s="9"/>
      <c r="X152" s="9"/>
      <c r="Y152" s="9"/>
      <c r="Z152" s="9"/>
      <c r="AF152" s="9"/>
      <c r="AG152" s="9"/>
      <c r="AH152" s="9"/>
    </row>
    <row r="153" spans="14:34" x14ac:dyDescent="0.35">
      <c r="N153" s="9"/>
      <c r="S153" s="9"/>
      <c r="T153" s="9"/>
      <c r="X153" s="9"/>
      <c r="Y153" s="9"/>
      <c r="Z153" s="9"/>
      <c r="AF153" s="9"/>
      <c r="AG153" s="9"/>
      <c r="AH153" s="9"/>
    </row>
    <row r="154" spans="14:34" x14ac:dyDescent="0.35">
      <c r="N154" s="9"/>
      <c r="S154" s="9"/>
      <c r="T154" s="9"/>
      <c r="X154" s="9"/>
      <c r="Y154" s="9"/>
      <c r="Z154" s="9"/>
      <c r="AF154" s="9"/>
      <c r="AG154" s="9"/>
      <c r="AH154" s="9"/>
    </row>
    <row r="155" spans="14:34" x14ac:dyDescent="0.35">
      <c r="N155" s="9"/>
      <c r="S155" s="9"/>
      <c r="T155" s="9"/>
      <c r="X155" s="9"/>
      <c r="Y155" s="9"/>
      <c r="Z155" s="9"/>
      <c r="AF155" s="9"/>
      <c r="AG155" s="9"/>
      <c r="AH155" s="9"/>
    </row>
    <row r="156" spans="14:34" x14ac:dyDescent="0.35">
      <c r="N156" s="9"/>
      <c r="S156" s="9"/>
      <c r="T156" s="9"/>
      <c r="X156" s="9"/>
      <c r="Y156" s="9"/>
      <c r="Z156" s="9"/>
      <c r="AF156" s="9"/>
      <c r="AG156" s="9"/>
      <c r="AH156" s="9"/>
    </row>
    <row r="157" spans="14:34" x14ac:dyDescent="0.35">
      <c r="N157" s="9"/>
      <c r="S157" s="9"/>
      <c r="T157" s="9"/>
      <c r="X157" s="9"/>
      <c r="Y157" s="9"/>
      <c r="Z157" s="9"/>
      <c r="AF157" s="9"/>
      <c r="AG157" s="9"/>
      <c r="AH157" s="9"/>
    </row>
    <row r="158" spans="14:34" x14ac:dyDescent="0.35">
      <c r="N158" s="9"/>
      <c r="S158" s="9"/>
      <c r="T158" s="9"/>
      <c r="X158" s="9"/>
      <c r="Y158" s="9"/>
      <c r="Z158" s="9"/>
      <c r="AF158" s="9"/>
      <c r="AG158" s="9"/>
      <c r="AH158" s="9"/>
    </row>
    <row r="159" spans="14:34" x14ac:dyDescent="0.35">
      <c r="N159" s="9"/>
      <c r="S159" s="9"/>
      <c r="T159" s="9"/>
      <c r="X159" s="9"/>
      <c r="Y159" s="9"/>
      <c r="Z159" s="9"/>
      <c r="AF159" s="9"/>
      <c r="AG159" s="9"/>
      <c r="AH159" s="9"/>
    </row>
    <row r="160" spans="14:34" x14ac:dyDescent="0.35">
      <c r="N160" s="9"/>
      <c r="S160" s="9"/>
      <c r="T160" s="9"/>
      <c r="X160" s="9"/>
      <c r="Y160" s="9"/>
      <c r="Z160" s="9"/>
      <c r="AF160" s="9"/>
      <c r="AG160" s="9"/>
      <c r="AH160" s="9"/>
    </row>
    <row r="161" spans="14:34" x14ac:dyDescent="0.35">
      <c r="N161" s="9"/>
      <c r="S161" s="9"/>
      <c r="T161" s="9"/>
      <c r="X161" s="9"/>
      <c r="Y161" s="9"/>
      <c r="Z161" s="9"/>
      <c r="AF161" s="9"/>
      <c r="AG161" s="9"/>
      <c r="AH161" s="9"/>
    </row>
    <row r="162" spans="14:34" x14ac:dyDescent="0.35">
      <c r="N162" s="9"/>
      <c r="S162" s="9"/>
      <c r="T162" s="9"/>
      <c r="X162" s="9"/>
      <c r="Y162" s="9"/>
      <c r="Z162" s="9"/>
      <c r="AF162" s="9"/>
      <c r="AG162" s="9"/>
      <c r="AH162" s="9"/>
    </row>
    <row r="163" spans="14:34" x14ac:dyDescent="0.35">
      <c r="N163" s="9"/>
      <c r="S163" s="9"/>
      <c r="T163" s="9"/>
      <c r="X163" s="9"/>
      <c r="Y163" s="9"/>
      <c r="Z163" s="9"/>
      <c r="AF163" s="9"/>
      <c r="AG163" s="9"/>
      <c r="AH163" s="9"/>
    </row>
    <row r="164" spans="14:34" x14ac:dyDescent="0.35">
      <c r="N164" s="9"/>
      <c r="S164" s="9"/>
      <c r="T164" s="9"/>
      <c r="X164" s="9"/>
      <c r="Y164" s="9"/>
      <c r="Z164" s="9"/>
      <c r="AF164" s="9"/>
      <c r="AG164" s="9"/>
      <c r="AH164" s="9"/>
    </row>
    <row r="165" spans="14:34" x14ac:dyDescent="0.35">
      <c r="N165" s="9"/>
      <c r="S165" s="9"/>
      <c r="T165" s="9"/>
      <c r="X165" s="9"/>
      <c r="Y165" s="9"/>
      <c r="Z165" s="9"/>
      <c r="AF165" s="9"/>
      <c r="AG165" s="9"/>
      <c r="AH165" s="9"/>
    </row>
    <row r="166" spans="14:34" x14ac:dyDescent="0.35">
      <c r="N166" s="9"/>
      <c r="S166" s="9"/>
      <c r="T166" s="9"/>
      <c r="X166" s="9"/>
      <c r="Y166" s="9"/>
      <c r="Z166" s="9"/>
      <c r="AF166" s="9"/>
      <c r="AG166" s="9"/>
      <c r="AH166" s="9"/>
    </row>
    <row r="167" spans="14:34" x14ac:dyDescent="0.35">
      <c r="N167" s="9"/>
      <c r="S167" s="9"/>
      <c r="T167" s="9"/>
      <c r="X167" s="9"/>
      <c r="Y167" s="9"/>
      <c r="Z167" s="9"/>
      <c r="AF167" s="9"/>
      <c r="AG167" s="9"/>
      <c r="AH167" s="9"/>
    </row>
    <row r="168" spans="14:34" x14ac:dyDescent="0.35">
      <c r="N168" s="9"/>
      <c r="S168" s="9"/>
      <c r="T168" s="9"/>
      <c r="X168" s="9"/>
      <c r="Y168" s="9"/>
      <c r="Z168" s="9"/>
      <c r="AF168" s="9"/>
      <c r="AG168" s="9"/>
      <c r="AH168" s="9"/>
    </row>
    <row r="169" spans="14:34" x14ac:dyDescent="0.35">
      <c r="N169" s="9"/>
      <c r="S169" s="9"/>
      <c r="T169" s="9"/>
      <c r="X169" s="9"/>
      <c r="Y169" s="9"/>
      <c r="Z169" s="9"/>
      <c r="AF169" s="9"/>
      <c r="AG169" s="9"/>
      <c r="AH169" s="9"/>
    </row>
    <row r="170" spans="14:34" x14ac:dyDescent="0.35">
      <c r="N170" s="9"/>
      <c r="S170" s="9"/>
      <c r="T170" s="9"/>
      <c r="X170" s="9"/>
      <c r="Y170" s="9"/>
      <c r="Z170" s="9"/>
      <c r="AF170" s="9"/>
      <c r="AG170" s="9"/>
      <c r="AH170" s="9"/>
    </row>
    <row r="171" spans="14:34" x14ac:dyDescent="0.35">
      <c r="N171" s="9"/>
      <c r="S171" s="9"/>
      <c r="T171" s="9"/>
      <c r="X171" s="9"/>
      <c r="Y171" s="9"/>
      <c r="Z171" s="9"/>
      <c r="AF171" s="9"/>
      <c r="AG171" s="9"/>
      <c r="AH171" s="9"/>
    </row>
    <row r="172" spans="14:34" x14ac:dyDescent="0.35">
      <c r="N172" s="9"/>
      <c r="S172" s="9"/>
      <c r="T172" s="9"/>
      <c r="X172" s="9"/>
      <c r="Y172" s="9"/>
      <c r="Z172" s="9"/>
      <c r="AF172" s="9"/>
      <c r="AG172" s="9"/>
      <c r="AH172" s="9"/>
    </row>
    <row r="173" spans="14:34" x14ac:dyDescent="0.35">
      <c r="N173" s="9"/>
      <c r="S173" s="9"/>
      <c r="T173" s="9"/>
      <c r="X173" s="9"/>
      <c r="Y173" s="9"/>
      <c r="Z173" s="9"/>
      <c r="AF173" s="9"/>
      <c r="AG173" s="9"/>
      <c r="AH173" s="9"/>
    </row>
    <row r="174" spans="14:34" x14ac:dyDescent="0.35">
      <c r="N174" s="9"/>
      <c r="S174" s="9"/>
      <c r="T174" s="9"/>
      <c r="X174" s="9"/>
      <c r="Y174" s="9"/>
      <c r="Z174" s="9"/>
      <c r="AF174" s="9"/>
      <c r="AG174" s="9"/>
      <c r="AH174" s="9"/>
    </row>
    <row r="175" spans="14:34" x14ac:dyDescent="0.35">
      <c r="N175" s="9"/>
      <c r="S175" s="9"/>
      <c r="T175" s="9"/>
      <c r="X175" s="9"/>
      <c r="Y175" s="9"/>
      <c r="Z175" s="9"/>
      <c r="AF175" s="9"/>
      <c r="AG175" s="9"/>
      <c r="AH175" s="9"/>
    </row>
    <row r="176" spans="14:34" x14ac:dyDescent="0.35">
      <c r="N176" s="9"/>
      <c r="S176" s="9"/>
      <c r="T176" s="9"/>
      <c r="X176" s="9"/>
      <c r="Y176" s="9"/>
      <c r="Z176" s="9"/>
      <c r="AF176" s="9"/>
      <c r="AG176" s="9"/>
      <c r="AH176" s="9"/>
    </row>
    <row r="177" spans="14:34" x14ac:dyDescent="0.35">
      <c r="N177" s="9"/>
      <c r="S177" s="9"/>
      <c r="T177" s="9"/>
      <c r="X177" s="9"/>
      <c r="Y177" s="9"/>
      <c r="Z177" s="9"/>
      <c r="AF177" s="9"/>
      <c r="AG177" s="9"/>
      <c r="AH177" s="9"/>
    </row>
    <row r="178" spans="14:34" x14ac:dyDescent="0.35">
      <c r="N178" s="9"/>
      <c r="S178" s="9"/>
      <c r="T178" s="9"/>
      <c r="X178" s="9"/>
      <c r="Y178" s="9"/>
      <c r="Z178" s="9"/>
      <c r="AF178" s="9"/>
      <c r="AG178" s="9"/>
      <c r="AH178" s="9"/>
    </row>
    <row r="179" spans="14:34" x14ac:dyDescent="0.35">
      <c r="N179" s="9"/>
      <c r="S179" s="9"/>
      <c r="T179" s="9"/>
      <c r="X179" s="9"/>
      <c r="Y179" s="9"/>
      <c r="Z179" s="9"/>
      <c r="AF179" s="9"/>
      <c r="AG179" s="9"/>
      <c r="AH179" s="9"/>
    </row>
    <row r="180" spans="14:34" x14ac:dyDescent="0.35">
      <c r="N180" s="9"/>
      <c r="S180" s="9"/>
      <c r="T180" s="9"/>
      <c r="X180" s="9"/>
      <c r="Y180" s="9"/>
      <c r="Z180" s="9"/>
      <c r="AF180" s="9"/>
      <c r="AG180" s="9"/>
      <c r="AH180" s="9"/>
    </row>
    <row r="181" spans="14:34" x14ac:dyDescent="0.35">
      <c r="N181" s="9"/>
      <c r="S181" s="9"/>
      <c r="T181" s="9"/>
      <c r="X181" s="9"/>
      <c r="Y181" s="9"/>
      <c r="Z181" s="9"/>
      <c r="AF181" s="9"/>
      <c r="AG181" s="9"/>
      <c r="AH181" s="9"/>
    </row>
    <row r="182" spans="14:34" x14ac:dyDescent="0.35">
      <c r="N182" s="9"/>
      <c r="S182" s="9"/>
      <c r="T182" s="9"/>
      <c r="X182" s="9"/>
      <c r="Y182" s="9"/>
      <c r="Z182" s="9"/>
      <c r="AF182" s="9"/>
      <c r="AG182" s="9"/>
      <c r="AH182" s="9"/>
    </row>
    <row r="183" spans="14:34" x14ac:dyDescent="0.35">
      <c r="N183" s="9"/>
      <c r="S183" s="9"/>
      <c r="T183" s="9"/>
      <c r="X183" s="9"/>
      <c r="Y183" s="9"/>
      <c r="Z183" s="9"/>
      <c r="AF183" s="9"/>
      <c r="AG183" s="9"/>
      <c r="AH183" s="9"/>
    </row>
    <row r="184" spans="14:34" x14ac:dyDescent="0.35">
      <c r="N184" s="9"/>
      <c r="S184" s="9"/>
      <c r="T184" s="9"/>
      <c r="X184" s="9"/>
      <c r="Y184" s="9"/>
      <c r="Z184" s="9"/>
      <c r="AF184" s="9"/>
      <c r="AG184" s="9"/>
      <c r="AH184" s="9"/>
    </row>
    <row r="185" spans="14:34" x14ac:dyDescent="0.35">
      <c r="N185" s="9"/>
      <c r="S185" s="9"/>
      <c r="T185" s="9"/>
      <c r="X185" s="9"/>
      <c r="Y185" s="9"/>
      <c r="Z185" s="9"/>
      <c r="AF185" s="9"/>
      <c r="AG185" s="9"/>
      <c r="AH185" s="9"/>
    </row>
    <row r="186" spans="14:34" x14ac:dyDescent="0.35">
      <c r="N186" s="9"/>
      <c r="S186" s="9"/>
      <c r="T186" s="9"/>
      <c r="X186" s="9"/>
      <c r="Y186" s="9"/>
      <c r="Z186" s="9"/>
      <c r="AF186" s="9"/>
      <c r="AG186" s="9"/>
      <c r="AH186" s="9"/>
    </row>
    <row r="187" spans="14:34" x14ac:dyDescent="0.35">
      <c r="N187" s="9"/>
      <c r="S187" s="9"/>
      <c r="T187" s="9"/>
      <c r="X187" s="9"/>
      <c r="Y187" s="9"/>
      <c r="Z187" s="9"/>
      <c r="AF187" s="9"/>
      <c r="AG187" s="9"/>
      <c r="AH187" s="9"/>
    </row>
    <row r="188" spans="14:34" x14ac:dyDescent="0.35">
      <c r="N188" s="9"/>
      <c r="S188" s="9"/>
      <c r="T188" s="9"/>
      <c r="X188" s="9"/>
      <c r="Y188" s="9"/>
      <c r="Z188" s="9"/>
      <c r="AF188" s="9"/>
      <c r="AG188" s="9"/>
      <c r="AH188" s="9"/>
    </row>
    <row r="189" spans="14:34" x14ac:dyDescent="0.35">
      <c r="N189" s="9"/>
      <c r="S189" s="9"/>
      <c r="T189" s="9"/>
      <c r="X189" s="9"/>
      <c r="Y189" s="9"/>
      <c r="Z189" s="9"/>
      <c r="AF189" s="9"/>
      <c r="AG189" s="9"/>
      <c r="AH189" s="9"/>
    </row>
    <row r="190" spans="14:34" x14ac:dyDescent="0.35">
      <c r="N190" s="9"/>
      <c r="S190" s="9"/>
      <c r="T190" s="9"/>
      <c r="X190" s="9"/>
      <c r="Y190" s="9"/>
      <c r="Z190" s="9"/>
      <c r="AF190" s="9"/>
      <c r="AG190" s="9"/>
      <c r="AH190" s="9"/>
    </row>
    <row r="191" spans="14:34" x14ac:dyDescent="0.35">
      <c r="N191" s="9"/>
      <c r="S191" s="9"/>
      <c r="T191" s="9"/>
      <c r="X191" s="9"/>
      <c r="Y191" s="9"/>
      <c r="Z191" s="9"/>
      <c r="AF191" s="9"/>
      <c r="AG191" s="9"/>
      <c r="AH191" s="9"/>
    </row>
    <row r="192" spans="14:34" x14ac:dyDescent="0.35">
      <c r="N192" s="9"/>
      <c r="S192" s="9"/>
      <c r="T192" s="9"/>
      <c r="X192" s="9"/>
      <c r="Y192" s="9"/>
      <c r="Z192" s="9"/>
      <c r="AF192" s="9"/>
      <c r="AG192" s="9"/>
      <c r="AH192" s="9"/>
    </row>
    <row r="193" spans="14:34" x14ac:dyDescent="0.35">
      <c r="N193" s="9"/>
      <c r="S193" s="9"/>
      <c r="T193" s="9"/>
      <c r="X193" s="9"/>
      <c r="Y193" s="9"/>
      <c r="Z193" s="9"/>
      <c r="AF193" s="9"/>
      <c r="AG193" s="9"/>
      <c r="AH193" s="9"/>
    </row>
    <row r="194" spans="14:34" x14ac:dyDescent="0.35">
      <c r="N194" s="9"/>
      <c r="S194" s="9"/>
      <c r="T194" s="9"/>
      <c r="X194" s="9"/>
      <c r="Y194" s="9"/>
      <c r="Z194" s="9"/>
      <c r="AF194" s="9"/>
      <c r="AG194" s="9"/>
      <c r="AH194" s="9"/>
    </row>
    <row r="195" spans="14:34" x14ac:dyDescent="0.35">
      <c r="N195" s="9"/>
      <c r="S195" s="9"/>
      <c r="T195" s="9"/>
      <c r="X195" s="9"/>
      <c r="Y195" s="9"/>
      <c r="Z195" s="9"/>
      <c r="AF195" s="9"/>
      <c r="AG195" s="9"/>
      <c r="AH195" s="9"/>
    </row>
    <row r="196" spans="14:34" x14ac:dyDescent="0.35">
      <c r="N196" s="9"/>
      <c r="S196" s="9"/>
      <c r="T196" s="9"/>
      <c r="X196" s="9"/>
      <c r="Y196" s="9"/>
      <c r="Z196" s="9"/>
      <c r="AF196" s="9"/>
      <c r="AG196" s="9"/>
      <c r="AH196" s="9"/>
    </row>
    <row r="197" spans="14:34" x14ac:dyDescent="0.35">
      <c r="N197" s="9"/>
      <c r="S197" s="9"/>
      <c r="T197" s="9"/>
      <c r="X197" s="9"/>
      <c r="Y197" s="9"/>
      <c r="Z197" s="9"/>
      <c r="AF197" s="9"/>
      <c r="AG197" s="9"/>
      <c r="AH197" s="9"/>
    </row>
    <row r="198" spans="14:34" x14ac:dyDescent="0.35">
      <c r="N198" s="9"/>
      <c r="S198" s="9"/>
      <c r="T198" s="9"/>
      <c r="X198" s="9"/>
      <c r="Y198" s="9"/>
      <c r="Z198" s="9"/>
      <c r="AF198" s="9"/>
      <c r="AG198" s="9"/>
      <c r="AH198" s="9"/>
    </row>
    <row r="199" spans="14:34" x14ac:dyDescent="0.35">
      <c r="N199" s="9"/>
      <c r="S199" s="9"/>
      <c r="T199" s="9"/>
      <c r="X199" s="9"/>
      <c r="Y199" s="9"/>
      <c r="Z199" s="9"/>
      <c r="AF199" s="9"/>
      <c r="AG199" s="9"/>
      <c r="AH199" s="9"/>
    </row>
    <row r="200" spans="14:34" x14ac:dyDescent="0.35">
      <c r="N200" s="9"/>
      <c r="S200" s="9"/>
      <c r="T200" s="9"/>
      <c r="X200" s="9"/>
      <c r="Y200" s="9"/>
      <c r="Z200" s="9"/>
      <c r="AF200" s="9"/>
      <c r="AG200" s="9"/>
      <c r="AH200" s="9"/>
    </row>
    <row r="201" spans="14:34" x14ac:dyDescent="0.35">
      <c r="N201" s="9"/>
      <c r="S201" s="9"/>
      <c r="T201" s="9"/>
      <c r="X201" s="9"/>
      <c r="Y201" s="9"/>
      <c r="Z201" s="9"/>
      <c r="AF201" s="9"/>
      <c r="AG201" s="9"/>
      <c r="AH201" s="9"/>
    </row>
    <row r="202" spans="14:34" x14ac:dyDescent="0.35">
      <c r="N202" s="9"/>
      <c r="S202" s="9"/>
      <c r="T202" s="9"/>
      <c r="X202" s="9"/>
      <c r="Y202" s="9"/>
      <c r="Z202" s="9"/>
      <c r="AF202" s="9"/>
      <c r="AG202" s="9"/>
      <c r="AH202" s="9"/>
    </row>
    <row r="203" spans="14:34" x14ac:dyDescent="0.35">
      <c r="N203" s="9"/>
      <c r="S203" s="9"/>
      <c r="T203" s="9"/>
      <c r="X203" s="9"/>
      <c r="Y203" s="9"/>
      <c r="Z203" s="9"/>
      <c r="AF203" s="9"/>
      <c r="AG203" s="9"/>
      <c r="AH203" s="9"/>
    </row>
    <row r="204" spans="14:34" x14ac:dyDescent="0.35">
      <c r="N204" s="9"/>
      <c r="S204" s="9"/>
      <c r="T204" s="9"/>
      <c r="X204" s="9"/>
      <c r="Y204" s="9"/>
      <c r="Z204" s="9"/>
      <c r="AF204" s="9"/>
      <c r="AG204" s="9"/>
      <c r="AH204" s="9"/>
    </row>
    <row r="205" spans="14:34" x14ac:dyDescent="0.35">
      <c r="N205" s="9"/>
      <c r="S205" s="9"/>
      <c r="T205" s="9"/>
      <c r="X205" s="9"/>
      <c r="Y205" s="9"/>
      <c r="Z205" s="9"/>
      <c r="AF205" s="9"/>
      <c r="AG205" s="9"/>
      <c r="AH205" s="9"/>
    </row>
    <row r="206" spans="14:34" x14ac:dyDescent="0.35">
      <c r="N206" s="9"/>
      <c r="S206" s="9"/>
      <c r="T206" s="9"/>
      <c r="X206" s="9"/>
      <c r="Y206" s="9"/>
      <c r="Z206" s="9"/>
      <c r="AF206" s="9"/>
      <c r="AG206" s="9"/>
      <c r="AH206" s="9"/>
    </row>
    <row r="207" spans="14:34" x14ac:dyDescent="0.35">
      <c r="N207" s="9"/>
      <c r="S207" s="9"/>
      <c r="T207" s="9"/>
      <c r="X207" s="9"/>
      <c r="Y207" s="9"/>
      <c r="Z207" s="9"/>
      <c r="AF207" s="9"/>
      <c r="AG207" s="9"/>
      <c r="AH207" s="9"/>
    </row>
    <row r="208" spans="14:34" x14ac:dyDescent="0.35">
      <c r="N208" s="9"/>
      <c r="S208" s="9"/>
      <c r="T208" s="9"/>
      <c r="X208" s="9"/>
      <c r="Y208" s="9"/>
      <c r="Z208" s="9"/>
      <c r="AF208" s="9"/>
      <c r="AG208" s="9"/>
      <c r="AH208" s="9"/>
    </row>
    <row r="209" spans="11:34" x14ac:dyDescent="0.35">
      <c r="K209" s="9"/>
      <c r="L209" s="9"/>
      <c r="N209" s="9"/>
      <c r="S209" s="9"/>
      <c r="T209" s="9"/>
      <c r="X209" s="9"/>
      <c r="Y209" s="9"/>
      <c r="Z209" s="9"/>
      <c r="AF209" s="9"/>
      <c r="AG209" s="9"/>
      <c r="AH209" s="9"/>
    </row>
    <row r="210" spans="11:34" x14ac:dyDescent="0.35">
      <c r="K210" s="9"/>
      <c r="L210" s="9"/>
      <c r="N210" s="9"/>
      <c r="S210" s="9"/>
      <c r="T210" s="9"/>
      <c r="X210" s="9"/>
      <c r="Y210" s="9"/>
      <c r="Z210" s="9"/>
      <c r="AF210" s="9"/>
      <c r="AG210" s="9"/>
      <c r="AH210" s="9"/>
    </row>
    <row r="211" spans="11:34" x14ac:dyDescent="0.35">
      <c r="K211" s="9"/>
      <c r="L211" s="9"/>
      <c r="N211" s="9"/>
      <c r="S211" s="9"/>
      <c r="T211" s="9"/>
      <c r="X211" s="9"/>
      <c r="Y211" s="9"/>
      <c r="Z211" s="9"/>
      <c r="AF211" s="9"/>
      <c r="AG211" s="9"/>
      <c r="AH211" s="9"/>
    </row>
    <row r="212" spans="11:34" x14ac:dyDescent="0.35">
      <c r="K212" s="9"/>
      <c r="L212" s="9"/>
      <c r="N212" s="9"/>
      <c r="S212" s="9"/>
      <c r="T212" s="9"/>
      <c r="X212" s="9"/>
      <c r="Y212" s="9"/>
      <c r="Z212" s="9"/>
      <c r="AF212" s="9"/>
      <c r="AG212" s="9"/>
      <c r="AH212" s="9"/>
    </row>
    <row r="213" spans="11:34" x14ac:dyDescent="0.35">
      <c r="K213" s="9"/>
      <c r="L213" s="9"/>
      <c r="N213" s="9"/>
      <c r="S213" s="9"/>
      <c r="T213" s="9"/>
      <c r="X213" s="9"/>
      <c r="Y213" s="9"/>
      <c r="Z213" s="9"/>
      <c r="AF213" s="9"/>
      <c r="AG213" s="9"/>
      <c r="AH213" s="9"/>
    </row>
    <row r="214" spans="11:34" x14ac:dyDescent="0.35">
      <c r="K214" s="9"/>
      <c r="L214" s="9"/>
      <c r="N214" s="9"/>
      <c r="S214" s="9"/>
      <c r="T214" s="9"/>
      <c r="X214" s="9"/>
      <c r="Y214" s="9"/>
      <c r="Z214" s="9"/>
      <c r="AF214" s="9"/>
      <c r="AG214" s="9"/>
      <c r="AH214" s="9"/>
    </row>
    <row r="215" spans="11:34" x14ac:dyDescent="0.35">
      <c r="K215" s="9"/>
      <c r="L215" s="9"/>
      <c r="N215" s="9"/>
      <c r="S215" s="9"/>
      <c r="T215" s="9"/>
      <c r="X215" s="9"/>
      <c r="Y215" s="9"/>
      <c r="Z215" s="9"/>
      <c r="AF215" s="9"/>
      <c r="AG215" s="9"/>
      <c r="AH215" s="9"/>
    </row>
    <row r="216" spans="11:34" x14ac:dyDescent="0.35">
      <c r="K216" s="9"/>
      <c r="L216" s="9"/>
      <c r="N216" s="9"/>
      <c r="S216" s="9"/>
      <c r="T216" s="9"/>
      <c r="X216" s="9"/>
      <c r="Y216" s="9"/>
      <c r="Z216" s="9"/>
      <c r="AF216" s="9"/>
      <c r="AG216" s="9"/>
      <c r="AH216" s="9"/>
    </row>
    <row r="217" spans="11:34" x14ac:dyDescent="0.35">
      <c r="K217" s="9"/>
      <c r="L217" s="9"/>
      <c r="N217" s="9"/>
      <c r="S217" s="9"/>
      <c r="T217" s="9"/>
      <c r="X217" s="9"/>
      <c r="Y217" s="9"/>
      <c r="Z217" s="9"/>
      <c r="AF217" s="9"/>
      <c r="AG217" s="9"/>
      <c r="AH217" s="9"/>
    </row>
    <row r="218" spans="11:34" x14ac:dyDescent="0.35">
      <c r="K218" s="9"/>
      <c r="L218" s="9"/>
      <c r="N218" s="9"/>
      <c r="S218" s="9"/>
      <c r="T218" s="9"/>
      <c r="X218" s="9"/>
      <c r="Y218" s="9"/>
      <c r="Z218" s="9"/>
      <c r="AF218" s="9"/>
      <c r="AG218" s="9"/>
      <c r="AH218" s="9"/>
    </row>
    <row r="219" spans="11:34" x14ac:dyDescent="0.35">
      <c r="K219" s="9"/>
      <c r="L219" s="9"/>
      <c r="N219" s="9"/>
      <c r="S219" s="9"/>
      <c r="T219" s="9"/>
      <c r="X219" s="9"/>
      <c r="Y219" s="9"/>
      <c r="Z219" s="9"/>
      <c r="AF219" s="9"/>
      <c r="AG219" s="9"/>
      <c r="AH219" s="9"/>
    </row>
    <row r="220" spans="11:34" x14ac:dyDescent="0.35">
      <c r="K220" s="9"/>
      <c r="L220" s="9"/>
      <c r="N220" s="9"/>
      <c r="S220" s="9"/>
      <c r="T220" s="9"/>
      <c r="X220" s="9"/>
      <c r="Y220" s="9"/>
      <c r="Z220" s="9"/>
      <c r="AF220" s="9"/>
      <c r="AG220" s="9"/>
      <c r="AH220" s="9"/>
    </row>
    <row r="221" spans="11:34" x14ac:dyDescent="0.35">
      <c r="K221" s="9"/>
      <c r="L221" s="9"/>
      <c r="N221" s="9"/>
      <c r="S221" s="9"/>
      <c r="T221" s="9"/>
      <c r="X221" s="9"/>
      <c r="Y221" s="9"/>
      <c r="Z221" s="9"/>
      <c r="AF221" s="9"/>
      <c r="AG221" s="9"/>
      <c r="AH221" s="9"/>
    </row>
    <row r="222" spans="11:34" x14ac:dyDescent="0.35">
      <c r="K222" s="9"/>
      <c r="L222" s="9"/>
      <c r="N222" s="9"/>
      <c r="S222" s="9"/>
      <c r="T222" s="9"/>
      <c r="X222" s="9"/>
      <c r="Y222" s="9"/>
      <c r="Z222" s="9"/>
      <c r="AF222" s="9"/>
      <c r="AG222" s="9"/>
      <c r="AH222" s="9"/>
    </row>
    <row r="223" spans="11:34" x14ac:dyDescent="0.35">
      <c r="K223" s="9"/>
      <c r="L223" s="9"/>
      <c r="N223" s="9"/>
      <c r="S223" s="9"/>
      <c r="T223" s="9"/>
      <c r="X223" s="9"/>
      <c r="Y223" s="9"/>
      <c r="Z223" s="9"/>
      <c r="AF223" s="9"/>
      <c r="AG223" s="9"/>
      <c r="AH223" s="9"/>
    </row>
    <row r="224" spans="11:34" x14ac:dyDescent="0.35">
      <c r="K224" s="9"/>
      <c r="L224" s="9"/>
      <c r="N224" s="9"/>
      <c r="S224" s="9"/>
      <c r="T224" s="9"/>
      <c r="X224" s="9"/>
      <c r="Y224" s="9"/>
      <c r="Z224" s="9"/>
      <c r="AF224" s="9"/>
      <c r="AG224" s="9"/>
      <c r="AH224" s="9"/>
    </row>
    <row r="225" spans="11:34" x14ac:dyDescent="0.35">
      <c r="K225" s="9"/>
      <c r="L225" s="9"/>
      <c r="X225" s="9"/>
      <c r="Y225" s="9"/>
      <c r="Z225" s="9"/>
      <c r="AF225" s="9"/>
      <c r="AG225" s="9"/>
      <c r="AH225" s="9"/>
    </row>
    <row r="226" spans="11:34" x14ac:dyDescent="0.35">
      <c r="K226" s="9"/>
      <c r="L226" s="9"/>
      <c r="X226" s="9"/>
      <c r="Y226" s="9"/>
      <c r="Z226" s="9"/>
      <c r="AF226" s="9"/>
      <c r="AG226" s="9"/>
      <c r="AH226" s="9"/>
    </row>
    <row r="227" spans="11:34" x14ac:dyDescent="0.35">
      <c r="K227" s="9"/>
      <c r="L227" s="9"/>
      <c r="X227" s="9"/>
      <c r="Y227" s="9"/>
      <c r="Z227" s="9"/>
      <c r="AF227" s="9"/>
      <c r="AG227" s="9"/>
      <c r="AH227" s="9"/>
    </row>
    <row r="228" spans="11:34" x14ac:dyDescent="0.35">
      <c r="K228" s="9"/>
      <c r="L228" s="9"/>
      <c r="X228" s="9"/>
      <c r="Y228" s="9"/>
      <c r="Z228" s="9"/>
      <c r="AF228" s="9"/>
      <c r="AG228" s="9"/>
      <c r="AH228" s="9"/>
    </row>
    <row r="229" spans="11:34" x14ac:dyDescent="0.35">
      <c r="K229" s="9"/>
      <c r="L229" s="9"/>
      <c r="X229" s="9"/>
      <c r="Y229" s="9"/>
      <c r="Z229" s="9"/>
      <c r="AF229" s="9"/>
      <c r="AG229" s="9"/>
      <c r="AH229" s="9"/>
    </row>
    <row r="230" spans="11:34" x14ac:dyDescent="0.35">
      <c r="K230" s="9"/>
      <c r="L230" s="9"/>
      <c r="X230" s="9"/>
      <c r="Y230" s="9"/>
      <c r="Z230" s="9"/>
      <c r="AF230" s="9"/>
      <c r="AG230" s="9"/>
      <c r="AH230" s="9"/>
    </row>
    <row r="231" spans="11:34" x14ac:dyDescent="0.35">
      <c r="K231" s="9"/>
      <c r="L231" s="9"/>
      <c r="X231" s="9"/>
      <c r="Y231" s="9"/>
      <c r="Z231" s="9"/>
      <c r="AF231" s="9"/>
      <c r="AG231" s="9"/>
      <c r="AH231" s="9"/>
    </row>
    <row r="232" spans="11:34" x14ac:dyDescent="0.35">
      <c r="K232" s="9"/>
      <c r="L232" s="9"/>
      <c r="X232" s="9"/>
      <c r="Y232" s="9"/>
      <c r="Z232" s="9"/>
      <c r="AF232" s="9"/>
      <c r="AG232" s="9"/>
      <c r="AH232" s="9"/>
    </row>
  </sheetData>
  <mergeCells count="1">
    <mergeCell ref="A59:C59"/>
  </mergeCells>
  <dataValidations count="4">
    <dataValidation type="list" allowBlank="1" showInputMessage="1" showErrorMessage="1" sqref="A8" xr:uid="{00000000-0002-0000-0000-000000000000}">
      <formula1>"Spot,Fut"</formula1>
    </dataValidation>
    <dataValidation type="list" allowBlank="1" showInputMessage="1" showErrorMessage="1" sqref="B6" xr:uid="{00000000-0002-0000-0000-000001000000}">
      <formula1>"365,360,252"</formula1>
    </dataValidation>
    <dataValidation type="list" allowBlank="1" showInputMessage="1" showErrorMessage="1" sqref="A6" xr:uid="{00000000-0002-0000-0000-000002000000}">
      <formula1>"a,e"</formula1>
    </dataValidation>
    <dataValidation type="list" allowBlank="1" showInputMessage="1" showErrorMessage="1" sqref="V3:V39 AD3:AD39 BJ3:BJ26 N3:N39 AL3:AL39 AT3:AT26 BB3:BB26 F3:F39" xr:uid="{00000000-0002-0000-0000-000003000000}">
      <formula1>"call,put"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ateCalculation_sht">
    <tabColor theme="2" tint="-0.249977111117893"/>
  </sheetPr>
  <dimension ref="A3:Q124"/>
  <sheetViews>
    <sheetView tabSelected="1" showRuler="0" zoomScaleNormal="100" workbookViewId="0">
      <selection activeCell="D3" sqref="D3"/>
    </sheetView>
  </sheetViews>
  <sheetFormatPr defaultColWidth="11.453125" defaultRowHeight="14.5" x14ac:dyDescent="0.35"/>
  <cols>
    <col min="1" max="1" width="15.7265625" style="8" bestFit="1" customWidth="1"/>
    <col min="2" max="2" width="15.1796875" style="8" bestFit="1" customWidth="1"/>
    <col min="3" max="3" width="16.54296875" style="8" customWidth="1"/>
    <col min="4" max="4" width="16.54296875" style="8" bestFit="1" customWidth="1"/>
    <col min="5" max="6" width="15.1796875" style="8" bestFit="1" customWidth="1"/>
    <col min="7" max="7" width="12" style="8" bestFit="1" customWidth="1"/>
    <col min="8" max="13" width="11.453125" style="8"/>
    <col min="14" max="14" width="11.7265625" style="8" customWidth="1"/>
    <col min="15" max="16384" width="11.453125" style="8"/>
  </cols>
  <sheetData>
    <row r="3" spans="1:17" x14ac:dyDescent="0.35">
      <c r="C3" s="158"/>
    </row>
    <row r="4" spans="1:17" ht="15" thickBot="1" x14ac:dyDescent="0.4">
      <c r="A4" s="8" t="s">
        <v>85</v>
      </c>
      <c r="B4" s="181">
        <f ca="1">WORKDAY(TODAY(),-1)</f>
        <v>44405</v>
      </c>
      <c r="H4" s="8" t="s">
        <v>177</v>
      </c>
    </row>
    <row r="5" spans="1:17" x14ac:dyDescent="0.35">
      <c r="A5" s="42" t="s">
        <v>33</v>
      </c>
      <c r="B5" s="43"/>
      <c r="C5" s="43"/>
      <c r="D5" s="43"/>
      <c r="E5" s="43"/>
      <c r="F5" s="43"/>
      <c r="G5" s="43"/>
      <c r="H5" s="43"/>
      <c r="I5" s="44"/>
      <c r="K5" s="28"/>
      <c r="L5" s="29" t="s">
        <v>23</v>
      </c>
      <c r="M5" s="30" t="s">
        <v>24</v>
      </c>
    </row>
    <row r="6" spans="1:17" x14ac:dyDescent="0.35">
      <c r="A6" s="45" t="s">
        <v>34</v>
      </c>
      <c r="B6" s="9">
        <f>_xll.RData(UnderlyingRic,"CF_CLOSE")</f>
        <v>4103.03</v>
      </c>
      <c r="C6" s="46"/>
      <c r="D6" s="46"/>
      <c r="E6" s="46"/>
      <c r="F6" s="46"/>
      <c r="G6" s="46"/>
      <c r="H6" s="46"/>
      <c r="I6" s="47"/>
      <c r="K6" s="31">
        <f>Expi1</f>
        <v>44428</v>
      </c>
      <c r="L6" s="32">
        <f ca="1">B23</f>
        <v>0</v>
      </c>
      <c r="M6" s="33">
        <f ca="1">IF('Live Prices'!$A$8="Fut",B23,B22)</f>
        <v>0</v>
      </c>
    </row>
    <row r="7" spans="1:17" x14ac:dyDescent="0.35">
      <c r="A7" s="48" t="s">
        <v>35</v>
      </c>
      <c r="B7" s="46">
        <f t="shared" ref="B7:I7" si="0">MROUND($B$6,B8)</f>
        <v>4100</v>
      </c>
      <c r="C7" s="46">
        <f t="shared" si="0"/>
        <v>4100</v>
      </c>
      <c r="D7" s="46">
        <f t="shared" si="0"/>
        <v>4100</v>
      </c>
      <c r="E7" s="46">
        <f t="shared" si="0"/>
        <v>4100</v>
      </c>
      <c r="F7" s="46">
        <f t="shared" si="0"/>
        <v>4100</v>
      </c>
      <c r="G7" s="46">
        <f t="shared" si="0"/>
        <v>4100</v>
      </c>
      <c r="H7" s="46">
        <f t="shared" si="0"/>
        <v>4100</v>
      </c>
      <c r="I7" s="47">
        <f t="shared" si="0"/>
        <v>4100</v>
      </c>
      <c r="K7" s="31">
        <f>Expi2</f>
        <v>44456</v>
      </c>
      <c r="L7" s="32">
        <f ca="1">C23</f>
        <v>0</v>
      </c>
      <c r="M7" s="33">
        <f ca="1">IF('Live Prices'!$A$8="Fut",C23,C22)</f>
        <v>0</v>
      </c>
    </row>
    <row r="8" spans="1:17" x14ac:dyDescent="0.35">
      <c r="A8" s="48" t="s">
        <v>36</v>
      </c>
      <c r="B8" s="60">
        <v>50</v>
      </c>
      <c r="C8" s="60">
        <v>50</v>
      </c>
      <c r="D8" s="60">
        <v>50</v>
      </c>
      <c r="E8" s="60">
        <v>50</v>
      </c>
      <c r="F8" s="60">
        <v>50</v>
      </c>
      <c r="G8" s="60">
        <v>50</v>
      </c>
      <c r="H8" s="60">
        <v>50</v>
      </c>
      <c r="I8" s="61">
        <v>100</v>
      </c>
      <c r="K8" s="31">
        <f>Expi3</f>
        <v>42720</v>
      </c>
      <c r="L8" s="32" t="e">
        <f ca="1">D23</f>
        <v>#VALUE!</v>
      </c>
      <c r="M8" s="33" t="e">
        <f ca="1">IF('Live Prices'!$A$8="Fut",D23,D22)</f>
        <v>#VALUE!</v>
      </c>
    </row>
    <row r="9" spans="1:17" x14ac:dyDescent="0.35">
      <c r="A9" s="48" t="s">
        <v>37</v>
      </c>
      <c r="B9" s="49" t="str">
        <f>VLOOKUP(MONTH(B11),'Live Prices'!$A$44:$C$56,3)&amp;MOD(YEAR(B11),2020)</f>
        <v>T1</v>
      </c>
      <c r="C9" s="49" t="str">
        <f>VLOOKUP(MONTH(C11),'Live Prices'!$A$44:$C$56,3)&amp;MOD(YEAR(C11),2020)</f>
        <v>U1</v>
      </c>
      <c r="D9" s="49" t="str">
        <f>VLOOKUP(MONTH(D11),'Live Prices'!$A$44:$C$56,3)&amp;MOD(YEAR(D11),2020)</f>
        <v>X2016</v>
      </c>
      <c r="E9" s="49" t="str">
        <f>VLOOKUP(MONTH(E11),'Live Prices'!$A$44:$C$56,3)&amp;MOD(YEAR(E11),2020)</f>
        <v>O2017</v>
      </c>
      <c r="F9" s="49" t="str">
        <f>VLOOKUP(MONTH(F11),'Live Prices'!$A$44:$C$56,3)&amp;MOD(YEAR(F11),2020)</f>
        <v>O2017</v>
      </c>
      <c r="G9" s="49" t="str">
        <f>VLOOKUP(MONTH(G11),'Live Prices'!$A$44:$C$56,3)&amp;MOD(YEAR(G11),2020)</f>
        <v>R2017</v>
      </c>
      <c r="H9" s="49" t="str">
        <f>VLOOKUP(MONTH(H11),'Live Prices'!$A$44:$C$56,3)&amp;MOD(YEAR(H11),2020)</f>
        <v>R2017</v>
      </c>
      <c r="I9" s="49" t="str">
        <f>VLOOKUP(MONTH(I11),'Live Prices'!$A$44:$C$56,3)&amp;MOD(YEAR(I11),2020)</f>
        <v>R2017</v>
      </c>
      <c r="K9" s="31">
        <f>Expi4</f>
        <v>42811</v>
      </c>
      <c r="L9" s="32" t="e">
        <f ca="1">E23</f>
        <v>#VALUE!</v>
      </c>
      <c r="M9" s="33" t="e">
        <f ca="1">IF('Live Prices'!$A$8="Fut",E23,E22)</f>
        <v>#VALUE!</v>
      </c>
    </row>
    <row r="10" spans="1:17" ht="15" thickBot="1" x14ac:dyDescent="0.4">
      <c r="A10" s="48" t="s">
        <v>38</v>
      </c>
      <c r="B10" s="49" t="str">
        <f>VLOOKUP(MONTH(B11),'Live Prices'!$A$44:$C$56,2)&amp;MOD(YEAR(B11),2020)</f>
        <v>H1</v>
      </c>
      <c r="C10" s="49" t="str">
        <f>VLOOKUP(MONTH(C11),'Live Prices'!$A$44:$C$56,2)&amp;MOD(YEAR(C11),2020)</f>
        <v>I1</v>
      </c>
      <c r="D10" s="49" t="str">
        <f>VLOOKUP(MONTH(D11),'Live Prices'!$A$44:$C$56,2)&amp;MOD(YEAR(D11),2020)</f>
        <v>L2016</v>
      </c>
      <c r="E10" s="49" t="str">
        <f>VLOOKUP(MONTH(E11),'Live Prices'!$A$44:$C$56,2)&amp;MOD(YEAR(E11),2020)</f>
        <v>C2017</v>
      </c>
      <c r="F10" s="49" t="str">
        <f>VLOOKUP(MONTH(F11),'Live Prices'!$A$44:$C$56,2)&amp;MOD(YEAR(F11),2020)</f>
        <v>C2017</v>
      </c>
      <c r="G10" s="49" t="str">
        <f>VLOOKUP(MONTH(G11),'Live Prices'!$A$44:$C$56,2)&amp;MOD(YEAR(G11),2020)</f>
        <v>F2017</v>
      </c>
      <c r="H10" s="49" t="str">
        <f>VLOOKUP(MONTH(H11),'Live Prices'!$A$44:$C$56,2)&amp;MOD(YEAR(H11),2020)</f>
        <v>F2017</v>
      </c>
      <c r="I10" s="49" t="str">
        <f>VLOOKUP(MONTH(I11),'Live Prices'!$A$44:$C$56,2)&amp;MOD(YEAR(I11),2020)</f>
        <v>F2017</v>
      </c>
      <c r="K10" s="31">
        <f>Expi5</f>
        <v>42811</v>
      </c>
      <c r="L10" s="32" t="e">
        <f ca="1">F23</f>
        <v>#VALUE!</v>
      </c>
      <c r="M10" s="33" t="e">
        <f ca="1">IF('Live Prices'!$A$8="Fut",F23,F22)</f>
        <v>#VALUE!</v>
      </c>
    </row>
    <row r="11" spans="1:17" ht="15" thickBot="1" x14ac:dyDescent="0.4">
      <c r="A11" s="42"/>
      <c r="B11" s="106">
        <f>Expi1</f>
        <v>44428</v>
      </c>
      <c r="C11" s="106">
        <f>Expi2</f>
        <v>44456</v>
      </c>
      <c r="D11" s="106">
        <f>Expi3</f>
        <v>42720</v>
      </c>
      <c r="E11" s="106">
        <f>Expi4</f>
        <v>42811</v>
      </c>
      <c r="F11" s="106">
        <f>Expi5</f>
        <v>42811</v>
      </c>
      <c r="G11" s="106">
        <f>Expi6</f>
        <v>42902</v>
      </c>
      <c r="H11" s="106">
        <f>Expi7</f>
        <v>42902</v>
      </c>
      <c r="I11" s="107">
        <f>Expi8</f>
        <v>42902</v>
      </c>
      <c r="J11" s="69"/>
      <c r="K11" s="31">
        <f>Expi6</f>
        <v>42902</v>
      </c>
      <c r="L11" s="32" t="e">
        <f ca="1">G23</f>
        <v>#VALUE!</v>
      </c>
      <c r="M11" s="33" t="e">
        <f ca="1">IF('Live Prices'!$A$8="Fut",G23,G22)</f>
        <v>#VALUE!</v>
      </c>
    </row>
    <row r="12" spans="1:17" x14ac:dyDescent="0.35">
      <c r="A12" s="42" t="s">
        <v>5</v>
      </c>
      <c r="B12" s="65">
        <f ca="1">IF(MatT1=0,0.00000000001,MatT1)</f>
        <v>6.0273972602739728E-2</v>
      </c>
      <c r="C12" s="65">
        <f ca="1">MatT2</f>
        <v>0.13698630136986301</v>
      </c>
      <c r="D12" s="65">
        <f ca="1">MatT3</f>
        <v>-4.6191780821917812</v>
      </c>
      <c r="E12" s="65">
        <f ca="1">MatT4</f>
        <v>-4.3698630136986303</v>
      </c>
      <c r="F12" s="65">
        <f ca="1">MatT5</f>
        <v>-4.3698630136986303</v>
      </c>
      <c r="G12" s="65">
        <f ca="1">MatT6</f>
        <v>-4.1205479452054794</v>
      </c>
      <c r="H12" s="65">
        <f ca="1">MatT7</f>
        <v>-4.1205479452054794</v>
      </c>
      <c r="I12" s="66">
        <f ca="1">MatT7</f>
        <v>-4.1205479452054794</v>
      </c>
      <c r="K12" s="31">
        <f>Expi7</f>
        <v>42902</v>
      </c>
      <c r="L12" s="32" t="e">
        <f ca="1">H23</f>
        <v>#VALUE!</v>
      </c>
      <c r="M12" s="33" t="e">
        <f ca="1">IF('Live Prices'!$A$8="Fut",H23,H22)</f>
        <v>#VALUE!</v>
      </c>
    </row>
    <row r="13" spans="1:17" ht="15" thickBot="1" x14ac:dyDescent="0.4">
      <c r="A13" s="48" t="s">
        <v>25</v>
      </c>
      <c r="B13" s="46">
        <f>IF($B$6&gt;B$7,B$7+B$8,B$7)</f>
        <v>4150</v>
      </c>
      <c r="C13" s="46">
        <f t="shared" ref="C13:H13" si="1">IF($B$6&gt;C$7,C$7+C$8,C$7)</f>
        <v>4150</v>
      </c>
      <c r="D13" s="46">
        <f t="shared" si="1"/>
        <v>4150</v>
      </c>
      <c r="E13" s="46">
        <f t="shared" si="1"/>
        <v>4150</v>
      </c>
      <c r="F13" s="46">
        <f t="shared" si="1"/>
        <v>4150</v>
      </c>
      <c r="G13" s="46">
        <f t="shared" si="1"/>
        <v>4150</v>
      </c>
      <c r="H13" s="46">
        <f t="shared" si="1"/>
        <v>4150</v>
      </c>
      <c r="I13" s="47">
        <f>IF($B$6&gt;I$7,I$7+I$8,I$7)</f>
        <v>4200</v>
      </c>
      <c r="J13" s="48"/>
      <c r="K13" s="34">
        <f>Expi8</f>
        <v>42902</v>
      </c>
      <c r="L13" s="35" t="e">
        <f ca="1">I23</f>
        <v>#VALUE!</v>
      </c>
      <c r="M13" s="36" t="e">
        <f ca="1">IF('Live Prices'!$A$8="Fut",I23,I22)</f>
        <v>#VALUE!</v>
      </c>
    </row>
    <row r="14" spans="1:17" ht="15" thickBot="1" x14ac:dyDescent="0.4">
      <c r="A14" s="48" t="s">
        <v>4</v>
      </c>
      <c r="B14" s="46">
        <f>(B13-B$8)</f>
        <v>4100</v>
      </c>
      <c r="C14" s="46">
        <f>(C13-C$8)</f>
        <v>4100</v>
      </c>
      <c r="D14" s="46">
        <f t="shared" ref="D14:H14" si="2">(D13-D$8)</f>
        <v>4100</v>
      </c>
      <c r="E14" s="46">
        <f>(E13-E$8)</f>
        <v>4100</v>
      </c>
      <c r="F14" s="46">
        <f t="shared" si="2"/>
        <v>4100</v>
      </c>
      <c r="G14" s="46">
        <f t="shared" si="2"/>
        <v>4100</v>
      </c>
      <c r="H14" s="46">
        <f t="shared" si="2"/>
        <v>4100</v>
      </c>
      <c r="I14" s="47">
        <f>(I13-I$8)</f>
        <v>4100</v>
      </c>
      <c r="J14" s="51"/>
    </row>
    <row r="15" spans="1:17" x14ac:dyDescent="0.35">
      <c r="A15" s="48" t="s">
        <v>39</v>
      </c>
      <c r="B15" s="46">
        <f>_xll.RData( RtrPrefix&amp;B13*10&amp;B10 &amp;RtrSufix,"cf_close")</f>
        <v>29.700000000000003</v>
      </c>
      <c r="C15" s="46">
        <f>_xll.RData( RtrPrefix&amp;C13*10&amp;C10 &amp;RtrSufix,"cf_close")</f>
        <v>62.6</v>
      </c>
      <c r="D15" s="46" t="str">
        <f>_xll.RData( RtrPrefix&amp;D13*10&amp;D10 &amp;RtrSufix,"cf_close")</f>
        <v>The record could not be found</v>
      </c>
      <c r="E15" s="46" t="str">
        <f>_xll.RData( RtrPrefix&amp;E13*10&amp;E10 &amp;RtrSufix,"cf_close")</f>
        <v>The record could not be found</v>
      </c>
      <c r="F15" s="46" t="str">
        <f>_xll.RData( RtrPrefix&amp;F13*10&amp;F10 &amp;RtrSufix,"cf_close")</f>
        <v>The record could not be found</v>
      </c>
      <c r="G15" s="46" t="str">
        <f>_xll.RData( RtrPrefix&amp;G13*10&amp;G10 &amp;RtrSufix,"cf_close")</f>
        <v>The record could not be found</v>
      </c>
      <c r="H15" s="46" t="str">
        <f>_xll.RData( RtrPrefix&amp;H13*10&amp;H10 &amp;RtrSufix,"cf_close")</f>
        <v>The record could not be found</v>
      </c>
      <c r="I15" s="47" t="str">
        <f>_xll.RData( RtrPrefix&amp;I13*10&amp;I10 &amp;RtrSufix,"cf_close")</f>
        <v>The record could not be found</v>
      </c>
      <c r="J15" s="20"/>
      <c r="K15" s="20"/>
      <c r="L15" s="20"/>
      <c r="M15" s="20"/>
      <c r="N15" s="20"/>
      <c r="O15" s="20"/>
      <c r="P15" s="20"/>
      <c r="Q15" s="21"/>
    </row>
    <row r="16" spans="1:17" x14ac:dyDescent="0.35">
      <c r="A16" s="48" t="s">
        <v>40</v>
      </c>
      <c r="B16" s="46">
        <f>_xll.RData( RtrPrefix&amp;B14*10&amp;B10&amp;RtrSufix,"cf_close")</f>
        <v>57.800000000000004</v>
      </c>
      <c r="C16" s="46">
        <f>_xll.RData( RtrPrefix&amp;C14*10&amp;C10&amp;RtrSufix,"cf_close")</f>
        <v>91.600000000000009</v>
      </c>
      <c r="D16" s="46" t="str">
        <f>_xll.RData( RtrPrefix&amp;D14*10&amp;D10&amp;RtrSufix,"cf_close")</f>
        <v>The record could not be found</v>
      </c>
      <c r="E16" s="46" t="str">
        <f>_xll.RData( RtrPrefix&amp;E14*10&amp;E10&amp;RtrSufix,"cf_close")</f>
        <v>The record could not be found</v>
      </c>
      <c r="F16" s="46" t="str">
        <f>_xll.RData( RtrPrefix&amp;F14*10&amp;F10&amp;RtrSufix,"cf_close")</f>
        <v>The record could not be found</v>
      </c>
      <c r="G16" s="46" t="str">
        <f>_xll.RData( RtrPrefix&amp;G14*10&amp;G10&amp;RtrSufix,"cf_close")</f>
        <v>The record could not be found</v>
      </c>
      <c r="H16" s="46" t="str">
        <f>_xll.RData( RtrPrefix&amp;H14*10&amp;H10&amp;RtrSufix,"cf_close")</f>
        <v>The record could not be found</v>
      </c>
      <c r="I16" s="47" t="str">
        <f>_xll.RData( RtrPrefix&amp;I14*10&amp;I10&amp;RtrSufix,"cf_close")</f>
        <v>The record could not be found</v>
      </c>
      <c r="J16" s="23"/>
      <c r="K16" s="22" t="s">
        <v>6</v>
      </c>
      <c r="L16" s="23"/>
      <c r="M16" s="23"/>
      <c r="N16" s="23"/>
      <c r="O16" s="23"/>
      <c r="P16" s="23"/>
      <c r="Q16" s="24"/>
    </row>
    <row r="17" spans="1:17" x14ac:dyDescent="0.35">
      <c r="A17" s="48" t="s">
        <v>41</v>
      </c>
      <c r="B17" s="46">
        <f>_xll.RData( RtrPrefix&amp;B13*10&amp;B9&amp;RtrSufix,"cf_close")</f>
        <v>79.300000000000011</v>
      </c>
      <c r="C17" s="46">
        <f>_xll.RData( RtrPrefix&amp;C13*10&amp;C9&amp;RtrSufix,"cf_close")</f>
        <v>116.10000000000001</v>
      </c>
      <c r="D17" s="46" t="str">
        <f>_xll.RData( RtrPrefix&amp;D13*10&amp;D9&amp;RtrSufix,"cf_close")</f>
        <v>The record could not be found</v>
      </c>
      <c r="E17" s="46" t="str">
        <f>_xll.RData( RtrPrefix&amp;E13*10&amp;E9&amp;RtrSufix,"cf_close")</f>
        <v>The record could not be found</v>
      </c>
      <c r="F17" s="46" t="str">
        <f>_xll.RData( RtrPrefix&amp;F13*10&amp;F9&amp;RtrSufix,"cf_close")</f>
        <v>The record could not be found</v>
      </c>
      <c r="G17" s="46" t="str">
        <f>_xll.RData( RtrPrefix&amp;G13*10&amp;G9&amp;RtrSufix,"cf_close")</f>
        <v>The record could not be found</v>
      </c>
      <c r="H17" s="46" t="str">
        <f>_xll.RData( RtrPrefix&amp;H13*10&amp;H9&amp;RtrSufix,"cf_close")</f>
        <v>The record could not be found</v>
      </c>
      <c r="I17" s="47" t="str">
        <f>_xll.RData( RtrPrefix&amp;I13*10&amp;I9&amp;RtrSufix,"cf_close")</f>
        <v>The record could not be found</v>
      </c>
      <c r="J17" s="23"/>
      <c r="K17" s="22" t="s">
        <v>7</v>
      </c>
      <c r="L17" s="23"/>
      <c r="M17" s="23"/>
      <c r="N17" s="23"/>
      <c r="O17" s="23"/>
      <c r="P17" s="23"/>
      <c r="Q17" s="24"/>
    </row>
    <row r="18" spans="1:17" x14ac:dyDescent="0.35">
      <c r="A18" s="48" t="s">
        <v>42</v>
      </c>
      <c r="B18" s="46">
        <f>_xll.RData( RtrPrefix&amp;B14*10&amp;B9&amp;RtrSufix,"cf_close")</f>
        <v>57.400000000000006</v>
      </c>
      <c r="C18" s="46">
        <f>_xll.RData( RtrPrefix&amp;C14*10&amp;C9&amp;RtrSufix,"cf_close")</f>
        <v>95.100000000000009</v>
      </c>
      <c r="D18" s="46" t="str">
        <f>_xll.RData( RtrPrefix&amp;D14*10&amp;D9&amp;RtrSufix,"cf_close")</f>
        <v>The record could not be found</v>
      </c>
      <c r="E18" s="46" t="str">
        <f>_xll.RData( RtrPrefix&amp;E14*10&amp;E9&amp;RtrSufix,"cf_close")</f>
        <v>The record could not be found</v>
      </c>
      <c r="F18" s="46" t="str">
        <f>_xll.RData( RtrPrefix&amp;F14*10&amp;F9&amp;RtrSufix,"cf_close")</f>
        <v>The record could not be found</v>
      </c>
      <c r="G18" s="46" t="str">
        <f>_xll.RData( RtrPrefix&amp;G14*10&amp;G9&amp;RtrSufix,"cf_close")</f>
        <v>The record could not be found</v>
      </c>
      <c r="H18" s="46" t="str">
        <f>_xll.RData( RtrPrefix&amp;H14*10&amp;H9&amp;RtrSufix,"cf_close")</f>
        <v>The record could not be found</v>
      </c>
      <c r="I18" s="47" t="str">
        <f>_xll.RData( RtrPrefix&amp;I14*10&amp;I9&amp;RtrSufix,"cf_close")</f>
        <v>The record could not be found</v>
      </c>
      <c r="J18" s="23"/>
      <c r="K18" s="22"/>
      <c r="L18" s="23"/>
      <c r="M18" s="23"/>
      <c r="N18" s="23"/>
      <c r="O18" s="23"/>
      <c r="P18" s="23"/>
      <c r="Q18" s="24"/>
    </row>
    <row r="19" spans="1:17" ht="15" x14ac:dyDescent="0.4">
      <c r="A19" s="48" t="s">
        <v>12</v>
      </c>
      <c r="B19" s="9">
        <f t="shared" ref="B19:G19" si="3">B16-B18</f>
        <v>0.39999999999999858</v>
      </c>
      <c r="C19" s="9">
        <f t="shared" si="3"/>
        <v>-3.5</v>
      </c>
      <c r="D19" s="9" t="e">
        <f t="shared" si="3"/>
        <v>#VALUE!</v>
      </c>
      <c r="E19" s="9" t="e">
        <f t="shared" si="3"/>
        <v>#VALUE!</v>
      </c>
      <c r="F19" s="9" t="e">
        <f>F16-F18</f>
        <v>#VALUE!</v>
      </c>
      <c r="G19" s="9" t="e">
        <f t="shared" si="3"/>
        <v>#VALUE!</v>
      </c>
      <c r="H19" s="9" t="e">
        <f t="shared" ref="H19:I19" si="4">H16-H18</f>
        <v>#VALUE!</v>
      </c>
      <c r="I19" s="18" t="e">
        <f t="shared" si="4"/>
        <v>#VALUE!</v>
      </c>
      <c r="J19" s="23"/>
      <c r="K19" s="157" t="s">
        <v>176</v>
      </c>
      <c r="L19" s="22"/>
      <c r="M19" s="22"/>
      <c r="N19" s="22"/>
      <c r="O19" s="23"/>
      <c r="P19" s="23"/>
      <c r="Q19" s="24"/>
    </row>
    <row r="20" spans="1:17" x14ac:dyDescent="0.35">
      <c r="A20" s="48" t="s">
        <v>13</v>
      </c>
      <c r="B20" s="9">
        <f t="shared" ref="B20:G20" si="5">B15-B17</f>
        <v>-49.600000000000009</v>
      </c>
      <c r="C20" s="9">
        <f t="shared" si="5"/>
        <v>-53.500000000000007</v>
      </c>
      <c r="D20" s="9" t="e">
        <f t="shared" si="5"/>
        <v>#VALUE!</v>
      </c>
      <c r="E20" s="9" t="e">
        <f t="shared" si="5"/>
        <v>#VALUE!</v>
      </c>
      <c r="F20" s="9" t="e">
        <f t="shared" si="5"/>
        <v>#VALUE!</v>
      </c>
      <c r="G20" s="9" t="e">
        <f t="shared" si="5"/>
        <v>#VALUE!</v>
      </c>
      <c r="H20" s="9" t="e">
        <f t="shared" ref="H20:I20" si="6">H15-H17</f>
        <v>#VALUE!</v>
      </c>
      <c r="I20" s="18" t="e">
        <f t="shared" si="6"/>
        <v>#VALUE!</v>
      </c>
      <c r="J20" s="23"/>
      <c r="K20" s="25"/>
      <c r="L20" s="23"/>
      <c r="M20" s="23"/>
      <c r="N20" s="23"/>
      <c r="O20" s="23"/>
      <c r="P20" s="23"/>
      <c r="Q20" s="24"/>
    </row>
    <row r="21" spans="1:17" ht="15" thickBot="1" x14ac:dyDescent="0.4">
      <c r="A21" s="48" t="s">
        <v>14</v>
      </c>
      <c r="B21" s="9">
        <f>B13-B14</f>
        <v>50</v>
      </c>
      <c r="C21" s="9">
        <f t="shared" ref="C21:G21" si="7">C13-C14</f>
        <v>50</v>
      </c>
      <c r="D21" s="9">
        <f t="shared" si="7"/>
        <v>50</v>
      </c>
      <c r="E21" s="9">
        <f t="shared" si="7"/>
        <v>50</v>
      </c>
      <c r="F21" s="9">
        <f t="shared" si="7"/>
        <v>50</v>
      </c>
      <c r="G21" s="9">
        <f t="shared" si="7"/>
        <v>50</v>
      </c>
      <c r="H21" s="9">
        <f t="shared" ref="H21:I21" si="8">H13-H14</f>
        <v>50</v>
      </c>
      <c r="I21" s="18">
        <f t="shared" si="8"/>
        <v>100</v>
      </c>
      <c r="J21" s="23"/>
      <c r="K21" s="157" t="s">
        <v>8</v>
      </c>
      <c r="L21" s="23"/>
      <c r="M21" s="23"/>
      <c r="N21" s="23"/>
      <c r="O21" s="23"/>
      <c r="P21" s="23"/>
      <c r="Q21" s="24"/>
    </row>
    <row r="22" spans="1:17" x14ac:dyDescent="0.35">
      <c r="A22" s="17" t="s">
        <v>18</v>
      </c>
      <c r="B22" s="70">
        <f ca="1">-LN((B13*B19-B14*B20)/($B$6*B21))/B12</f>
        <v>1.0638011759477577E-2</v>
      </c>
      <c r="C22" s="70">
        <f t="shared" ref="C22:G22" ca="1" si="9">-LN((C13*C19-C14*C20)/($B$6*C21))/C12</f>
        <v>1.1627254264022842E-2</v>
      </c>
      <c r="D22" s="70" t="e">
        <f ca="1">-LN((D13*D19-D14*D20)/($B$6*D21))/D12</f>
        <v>#VALUE!</v>
      </c>
      <c r="E22" s="70" t="e">
        <f t="shared" ca="1" si="9"/>
        <v>#VALUE!</v>
      </c>
      <c r="F22" s="70" t="e">
        <f t="shared" ca="1" si="9"/>
        <v>#VALUE!</v>
      </c>
      <c r="G22" s="70" t="e">
        <f t="shared" ca="1" si="9"/>
        <v>#VALUE!</v>
      </c>
      <c r="H22" s="70" t="e">
        <f ca="1">-LN((H13*H19-H14*H20)/($B$6*H21))/H12</f>
        <v>#VALUE!</v>
      </c>
      <c r="I22" s="112" t="e">
        <f t="shared" ref="I22" ca="1" si="10">-LN((I13*I19-I14*I20)/($B$6*I21))/I12</f>
        <v>#VALUE!</v>
      </c>
      <c r="J22" s="23"/>
      <c r="K22" s="22" t="s">
        <v>9</v>
      </c>
      <c r="L22" s="23"/>
      <c r="M22" s="23"/>
      <c r="N22" s="23"/>
      <c r="O22" s="23"/>
      <c r="P22" s="23"/>
      <c r="Q22" s="24"/>
    </row>
    <row r="23" spans="1:17" x14ac:dyDescent="0.35">
      <c r="A23" s="45" t="s">
        <v>19</v>
      </c>
      <c r="B23" s="91">
        <f ca="1">-LN((EXP(-B22*B12)*$B$6-B16+B18)/B14)/B12</f>
        <v>0</v>
      </c>
      <c r="C23" s="91">
        <f ca="1">-LN((EXP(-C22*C12)*$B$6-C16+C18)/C14)/C12</f>
        <v>0</v>
      </c>
      <c r="D23" s="91" t="e">
        <f ca="1">-LN((EXP(-D22*D12)*$B$6-D16+D18)/D14)/D12</f>
        <v>#VALUE!</v>
      </c>
      <c r="E23" s="91" t="e">
        <f t="shared" ref="E23:G23" ca="1" si="11">-LN((EXP(-E22*E12)*$B$6-E16+E18)/E14)/E12</f>
        <v>#VALUE!</v>
      </c>
      <c r="F23" s="91" t="e">
        <f t="shared" ca="1" si="11"/>
        <v>#VALUE!</v>
      </c>
      <c r="G23" s="91" t="e">
        <f t="shared" ca="1" si="11"/>
        <v>#VALUE!</v>
      </c>
      <c r="H23" s="91" t="e">
        <f t="shared" ref="H23:I23" ca="1" si="12">-LN((EXP(-H22*H12)*$B$6-H16+H18)/H14)/H12</f>
        <v>#VALUE!</v>
      </c>
      <c r="I23" s="113" t="e">
        <f t="shared" ca="1" si="12"/>
        <v>#VALUE!</v>
      </c>
      <c r="J23" s="23"/>
      <c r="K23" s="25"/>
      <c r="L23" s="23"/>
      <c r="M23" s="23"/>
      <c r="N23" s="23"/>
      <c r="O23" s="23"/>
      <c r="P23" s="23"/>
      <c r="Q23" s="24"/>
    </row>
    <row r="24" spans="1:17" x14ac:dyDescent="0.35">
      <c r="A24" s="48" t="s">
        <v>15</v>
      </c>
      <c r="B24" s="11">
        <f t="shared" ref="B24:G24" ca="1" si="13">B22*B12</f>
        <v>6.4119522933837457E-4</v>
      </c>
      <c r="C24" s="11">
        <f t="shared" ca="1" si="13"/>
        <v>1.5927745567154577E-3</v>
      </c>
      <c r="D24" s="11" t="e">
        <f t="shared" ca="1" si="13"/>
        <v>#VALUE!</v>
      </c>
      <c r="E24" s="11" t="e">
        <f t="shared" ca="1" si="13"/>
        <v>#VALUE!</v>
      </c>
      <c r="F24" s="11" t="e">
        <f t="shared" ca="1" si="13"/>
        <v>#VALUE!</v>
      </c>
      <c r="G24" s="11" t="e">
        <f t="shared" ca="1" si="13"/>
        <v>#VALUE!</v>
      </c>
      <c r="H24" s="11" t="e">
        <f t="shared" ref="H24:I24" ca="1" si="14">H22*H12</f>
        <v>#VALUE!</v>
      </c>
      <c r="I24" s="10" t="e">
        <f t="shared" ca="1" si="14"/>
        <v>#VALUE!</v>
      </c>
      <c r="J24" s="23"/>
      <c r="K24" s="25"/>
      <c r="L24" s="23"/>
      <c r="M24" s="23"/>
      <c r="N24" s="23"/>
      <c r="O24" s="23"/>
      <c r="P24" s="23"/>
      <c r="Q24" s="24"/>
    </row>
    <row r="25" spans="1:17" x14ac:dyDescent="0.35">
      <c r="A25" s="48" t="s">
        <v>16</v>
      </c>
      <c r="B25" s="11">
        <f t="shared" ref="B25:G25" ca="1" si="15">B23*B12</f>
        <v>0</v>
      </c>
      <c r="C25" s="11">
        <f t="shared" ca="1" si="15"/>
        <v>0</v>
      </c>
      <c r="D25" s="11" t="e">
        <f t="shared" ca="1" si="15"/>
        <v>#VALUE!</v>
      </c>
      <c r="E25" s="11" t="e">
        <f t="shared" ca="1" si="15"/>
        <v>#VALUE!</v>
      </c>
      <c r="F25" s="11" t="e">
        <f t="shared" ca="1" si="15"/>
        <v>#VALUE!</v>
      </c>
      <c r="G25" s="11" t="e">
        <f t="shared" ca="1" si="15"/>
        <v>#VALUE!</v>
      </c>
      <c r="H25" s="11" t="e">
        <f t="shared" ref="H25:I25" ca="1" si="16">H23*H12</f>
        <v>#VALUE!</v>
      </c>
      <c r="I25" s="10" t="e">
        <f t="shared" ca="1" si="16"/>
        <v>#VALUE!</v>
      </c>
      <c r="J25" s="23"/>
      <c r="K25" s="22" t="s">
        <v>10</v>
      </c>
      <c r="L25" s="23"/>
      <c r="M25" s="23"/>
      <c r="N25" s="23"/>
      <c r="O25" s="23"/>
      <c r="P25" s="23"/>
      <c r="Q25" s="24"/>
    </row>
    <row r="26" spans="1:17" ht="15" thickBot="1" x14ac:dyDescent="0.4">
      <c r="A26" s="51" t="s">
        <v>20</v>
      </c>
      <c r="B26" s="92">
        <f t="shared" ref="B26:G26" ca="1" si="17">B24-B25</f>
        <v>6.4119522933837457E-4</v>
      </c>
      <c r="C26" s="92">
        <f t="shared" ca="1" si="17"/>
        <v>1.5927745567154577E-3</v>
      </c>
      <c r="D26" s="92" t="e">
        <f t="shared" ca="1" si="17"/>
        <v>#VALUE!</v>
      </c>
      <c r="E26" s="92" t="e">
        <f t="shared" ca="1" si="17"/>
        <v>#VALUE!</v>
      </c>
      <c r="F26" s="92" t="e">
        <f t="shared" ca="1" si="17"/>
        <v>#VALUE!</v>
      </c>
      <c r="G26" s="92" t="e">
        <f t="shared" ca="1" si="17"/>
        <v>#VALUE!</v>
      </c>
      <c r="H26" s="92" t="e">
        <f t="shared" ref="H26:I26" ca="1" si="18">H24-H25</f>
        <v>#VALUE!</v>
      </c>
      <c r="I26" s="93" t="e">
        <f t="shared" ca="1" si="18"/>
        <v>#VALUE!</v>
      </c>
      <c r="J26" s="23"/>
      <c r="K26" s="22" t="s">
        <v>11</v>
      </c>
      <c r="L26" s="23"/>
      <c r="M26" s="23"/>
      <c r="N26" s="23"/>
      <c r="O26" s="23"/>
      <c r="P26" s="23"/>
      <c r="Q26" s="24"/>
    </row>
    <row r="27" spans="1:17" ht="15" thickBot="1" x14ac:dyDescent="0.4">
      <c r="A27" s="57" t="s">
        <v>89</v>
      </c>
      <c r="B27" s="90">
        <f>(B14*B20-B13*B19)/(B20-B16+B18)</f>
        <v>4100.4000000000005</v>
      </c>
      <c r="C27" s="90">
        <f t="shared" ref="C27:G27" si="19">(C14*C20-C13*C19)/(C20-C16+C18)</f>
        <v>4096.4999999999991</v>
      </c>
      <c r="D27" s="90" t="e">
        <f>(D14*D20-D13*D19)/(D20-D16+D18)</f>
        <v>#VALUE!</v>
      </c>
      <c r="E27" s="90" t="e">
        <f>(E14*E20-E13*E19)/(E20-E16+E18)</f>
        <v>#VALUE!</v>
      </c>
      <c r="F27" s="90" t="e">
        <f>(F14*F20-F13*F19)/(F20-F16+F18)</f>
        <v>#VALUE!</v>
      </c>
      <c r="G27" s="90" t="e">
        <f t="shared" si="19"/>
        <v>#VALUE!</v>
      </c>
      <c r="H27" s="90" t="e">
        <f t="shared" ref="H27" si="20">(H14*H20-H13*H19)/(H20-H16+H18)</f>
        <v>#VALUE!</v>
      </c>
      <c r="I27" s="172" t="e">
        <f>(I14*I20-I13*I19)/(I20-I16+I18)</f>
        <v>#VALUE!</v>
      </c>
      <c r="J27" s="26"/>
      <c r="K27" s="26"/>
      <c r="L27" s="26"/>
      <c r="M27" s="26"/>
      <c r="N27" s="26"/>
      <c r="O27" s="26"/>
      <c r="P27" s="26"/>
      <c r="Q27" s="27"/>
    </row>
    <row r="28" spans="1:17" x14ac:dyDescent="0.35">
      <c r="A28" s="8" t="s">
        <v>170</v>
      </c>
      <c r="B28" s="8">
        <f ca="1">$B$6*EXP((B23-B22)*B12)</f>
        <v>4100.4000000000005</v>
      </c>
      <c r="C28" s="8">
        <f t="shared" ref="C28:G28" ca="1" si="21">$B$6*EXP((C23-C22)*C12)</f>
        <v>4096.5</v>
      </c>
      <c r="D28" s="8" t="e">
        <f ca="1">$B$6*EXP((D23-D22)*D12)</f>
        <v>#VALUE!</v>
      </c>
      <c r="E28" s="8" t="e">
        <f ca="1">$B$6*EXP((E23-E22)*E12)</f>
        <v>#VALUE!</v>
      </c>
      <c r="F28" s="8" t="e">
        <f t="shared" ca="1" si="21"/>
        <v>#VALUE!</v>
      </c>
      <c r="G28" s="8" t="e">
        <f t="shared" ca="1" si="21"/>
        <v>#VALUE!</v>
      </c>
      <c r="H28" s="8" t="e">
        <f t="shared" ref="H28" ca="1" si="22">$B$6*EXP((H23-H22)*H12)</f>
        <v>#VALUE!</v>
      </c>
      <c r="I28" s="8" t="e">
        <f ca="1">$B$6*EXP((I23-I22)*I12)</f>
        <v>#VALUE!</v>
      </c>
    </row>
    <row r="29" spans="1:17" x14ac:dyDescent="0.35">
      <c r="A29" s="8" t="s">
        <v>169</v>
      </c>
      <c r="B29" s="8">
        <f>(B16+B17)-(B15+B18)</f>
        <v>50.000000000000014</v>
      </c>
      <c r="C29" s="8">
        <f>(C16+C17)-(C15+C18)</f>
        <v>50</v>
      </c>
      <c r="D29" s="8" t="e">
        <f t="shared" ref="D29:I29" si="23">(D16+D17)-(D15+D18)</f>
        <v>#VALUE!</v>
      </c>
      <c r="E29" s="8" t="e">
        <f t="shared" si="23"/>
        <v>#VALUE!</v>
      </c>
      <c r="F29" s="8" t="e">
        <f t="shared" si="23"/>
        <v>#VALUE!</v>
      </c>
      <c r="G29" s="8" t="e">
        <f t="shared" si="23"/>
        <v>#VALUE!</v>
      </c>
      <c r="H29" s="8" t="e">
        <f t="shared" si="23"/>
        <v>#VALUE!</v>
      </c>
      <c r="I29" s="8" t="e">
        <f t="shared" si="23"/>
        <v>#VALUE!</v>
      </c>
    </row>
    <row r="30" spans="1:17" ht="15" thickBot="1" x14ac:dyDescent="0.4">
      <c r="A30" s="8" t="s">
        <v>23</v>
      </c>
      <c r="B30" s="150">
        <f ca="1">(LOG(B13-B14)-LOG(B29))/B12</f>
        <v>-3.6839218544380192E-15</v>
      </c>
      <c r="C30" s="150">
        <f t="shared" ref="C30:I30" ca="1" si="24">(LOG(C13-C14)-LOG(C29))/C12</f>
        <v>0</v>
      </c>
      <c r="D30" s="150" t="e">
        <f t="shared" ca="1" si="24"/>
        <v>#VALUE!</v>
      </c>
      <c r="E30" s="150" t="e">
        <f t="shared" ca="1" si="24"/>
        <v>#VALUE!</v>
      </c>
      <c r="F30" s="150" t="e">
        <f t="shared" ca="1" si="24"/>
        <v>#VALUE!</v>
      </c>
      <c r="G30" s="150" t="e">
        <f t="shared" ca="1" si="24"/>
        <v>#VALUE!</v>
      </c>
      <c r="H30" s="150" t="e">
        <f t="shared" ca="1" si="24"/>
        <v>#VALUE!</v>
      </c>
      <c r="I30" s="150" t="e">
        <f t="shared" ca="1" si="24"/>
        <v>#VALUE!</v>
      </c>
    </row>
    <row r="31" spans="1:17" ht="15" thickBot="1" x14ac:dyDescent="0.4">
      <c r="B31" s="168" t="s">
        <v>177</v>
      </c>
      <c r="C31" s="150"/>
      <c r="D31" s="150"/>
      <c r="E31" s="150"/>
      <c r="F31" s="150"/>
      <c r="G31" s="150"/>
      <c r="H31" s="150"/>
      <c r="I31" s="150"/>
      <c r="M31" s="17" t="s">
        <v>85</v>
      </c>
      <c r="N31" s="55">
        <f>_xll.RData(M31,"EXPIR_DATE")</f>
        <v>44456</v>
      </c>
      <c r="O31" s="64">
        <f>_xll.RData(M31,"CF_LAST")</f>
        <v>4112.5</v>
      </c>
    </row>
    <row r="32" spans="1:17" ht="15" thickBot="1" x14ac:dyDescent="0.4">
      <c r="B32" s="161"/>
      <c r="C32" s="150"/>
      <c r="D32" s="150"/>
      <c r="E32" s="150"/>
      <c r="F32" s="150"/>
      <c r="G32" s="150"/>
      <c r="H32" s="150"/>
      <c r="I32" s="150"/>
      <c r="M32" s="45" t="s">
        <v>87</v>
      </c>
      <c r="N32" s="54">
        <f>_xll.RData(M32,"EXPIR_DATE")</f>
        <v>44547</v>
      </c>
      <c r="O32" s="64">
        <f>_xll.RData(M32,"CF_LAST")</f>
        <v>4092</v>
      </c>
    </row>
    <row r="33" spans="1:15" ht="15" thickBot="1" x14ac:dyDescent="0.4">
      <c r="B33" s="68"/>
      <c r="C33" s="68"/>
      <c r="D33" s="68"/>
      <c r="E33" s="68"/>
      <c r="F33" s="68"/>
      <c r="M33" s="57" t="s">
        <v>88</v>
      </c>
      <c r="N33" s="56">
        <f>_xll.RData(M33,"EXPIR_DATE")</f>
        <v>44638</v>
      </c>
      <c r="O33" s="64">
        <f>_xll.RData(M33,"CF_LAST")</f>
        <v>4057.5</v>
      </c>
    </row>
    <row r="34" spans="1:15" ht="15" thickBot="1" x14ac:dyDescent="0.4">
      <c r="A34" s="8" t="s">
        <v>67</v>
      </c>
      <c r="B34" s="39"/>
      <c r="C34" s="40"/>
      <c r="D34" s="40"/>
      <c r="M34" s="57" t="s">
        <v>178</v>
      </c>
      <c r="N34" s="56">
        <v>42614</v>
      </c>
      <c r="O34" s="64">
        <f>_xll.RData(M34,"CF_LAST")</f>
        <v>3985</v>
      </c>
    </row>
    <row r="35" spans="1:15" ht="15" thickBot="1" x14ac:dyDescent="0.4">
      <c r="A35" s="17" t="s">
        <v>85</v>
      </c>
      <c r="B35" s="55">
        <f>_xll.RData(A35,"EXPIR_DATE")</f>
        <v>44456</v>
      </c>
      <c r="C35" s="62">
        <f>_xll.RData(A35,"CF_CLOSE")</f>
        <v>4096.5</v>
      </c>
      <c r="D35" s="67">
        <f>_xll.RData(A35,"CF_LAST")</f>
        <v>4112.5</v>
      </c>
      <c r="M35" s="57" t="s">
        <v>179</v>
      </c>
      <c r="N35" s="56">
        <v>42705</v>
      </c>
      <c r="O35" s="64">
        <f>_xll.RData(M35,"CF_LAST")</f>
        <v>3970.5</v>
      </c>
    </row>
    <row r="36" spans="1:15" x14ac:dyDescent="0.35">
      <c r="A36" s="45" t="s">
        <v>87</v>
      </c>
      <c r="B36" s="54">
        <f>_xll.RData(A36,"EXPIR_DATE")</f>
        <v>44547</v>
      </c>
      <c r="C36" s="63">
        <f>_xll.RData(A36,"CF_CLOSE")</f>
        <v>4074</v>
      </c>
      <c r="D36" s="67">
        <f>_xll.RData(A36,"CF_LAST")</f>
        <v>4092</v>
      </c>
    </row>
    <row r="37" spans="1:15" ht="15" thickBot="1" x14ac:dyDescent="0.4">
      <c r="A37" s="57" t="s">
        <v>88</v>
      </c>
      <c r="B37" s="56">
        <f>_xll.RData(A37,"EXPIR_DATE")</f>
        <v>44638</v>
      </c>
      <c r="C37" s="64">
        <f>_xll.RData(A37,"CF_CLOSE")</f>
        <v>4057.5</v>
      </c>
      <c r="D37" s="8">
        <f>_xll.RData(A37,"CF_LAST")</f>
        <v>4057.5</v>
      </c>
    </row>
    <row r="38" spans="1:15" x14ac:dyDescent="0.35">
      <c r="D38" s="67">
        <f>D35-D37</f>
        <v>55</v>
      </c>
    </row>
    <row r="39" spans="1:15" x14ac:dyDescent="0.35">
      <c r="A39" s="8" t="s">
        <v>90</v>
      </c>
    </row>
    <row r="41" spans="1:15" x14ac:dyDescent="0.35">
      <c r="A41" s="8" t="s">
        <v>91</v>
      </c>
      <c r="B41" s="67"/>
    </row>
    <row r="42" spans="1:15" x14ac:dyDescent="0.35">
      <c r="B42" s="67"/>
    </row>
    <row r="43" spans="1:15" x14ac:dyDescent="0.35">
      <c r="B43" s="67"/>
    </row>
    <row r="45" spans="1:15" x14ac:dyDescent="0.35">
      <c r="A45" s="8" t="s">
        <v>148</v>
      </c>
      <c r="B45" s="8">
        <f ca="1">B6-C28</f>
        <v>6.5299999999997453</v>
      </c>
    </row>
    <row r="46" spans="1:15" ht="15" thickBot="1" x14ac:dyDescent="0.4"/>
    <row r="47" spans="1:15" x14ac:dyDescent="0.35">
      <c r="A47" s="174" t="s">
        <v>122</v>
      </c>
      <c r="B47" s="175"/>
      <c r="C47" s="175"/>
      <c r="D47" s="175"/>
      <c r="E47" s="44"/>
    </row>
    <row r="48" spans="1:15" x14ac:dyDescent="0.35">
      <c r="A48" s="48"/>
      <c r="B48" s="9"/>
      <c r="C48" s="116" t="s">
        <v>99</v>
      </c>
      <c r="D48" s="116" t="s">
        <v>100</v>
      </c>
      <c r="E48" s="18"/>
    </row>
    <row r="49" spans="1:5" x14ac:dyDescent="0.35">
      <c r="A49" s="48" t="s">
        <v>97</v>
      </c>
      <c r="B49" s="71">
        <f>B35</f>
        <v>44456</v>
      </c>
      <c r="C49" s="117">
        <f>C35</f>
        <v>4096.5</v>
      </c>
      <c r="D49" s="116">
        <f>_xll.RData(A35,"CF_LAST")</f>
        <v>4112.5</v>
      </c>
      <c r="E49" s="18"/>
    </row>
    <row r="50" spans="1:5" ht="15" thickBot="1" x14ac:dyDescent="0.4">
      <c r="A50" s="48"/>
      <c r="B50" s="9"/>
      <c r="C50" s="9"/>
      <c r="D50" s="9"/>
      <c r="E50" s="18"/>
    </row>
    <row r="51" spans="1:5" x14ac:dyDescent="0.35">
      <c r="A51" s="75" t="s">
        <v>168</v>
      </c>
      <c r="B51" s="76" t="s">
        <v>95</v>
      </c>
      <c r="C51" s="76" t="s">
        <v>96</v>
      </c>
      <c r="D51" s="76" t="s">
        <v>98</v>
      </c>
      <c r="E51" s="77" t="s">
        <v>101</v>
      </c>
    </row>
    <row r="52" spans="1:5" x14ac:dyDescent="0.35">
      <c r="A52" s="114">
        <f>Expi1</f>
        <v>44428</v>
      </c>
      <c r="B52" s="74" t="str">
        <f>'Live Prices'!A19</f>
        <v>Aug</v>
      </c>
      <c r="C52" s="159">
        <f ca="1">B28</f>
        <v>4100.4000000000005</v>
      </c>
      <c r="D52" s="101">
        <f ca="1">C52-$C$49</f>
        <v>3.9000000000005457</v>
      </c>
      <c r="E52" s="79">
        <f ca="1">$D$49+D52</f>
        <v>4116.4000000000005</v>
      </c>
    </row>
    <row r="53" spans="1:5" x14ac:dyDescent="0.35">
      <c r="A53" s="114">
        <f>Expi2</f>
        <v>44456</v>
      </c>
      <c r="B53" s="74" t="str">
        <f>'Live Prices'!A20</f>
        <v>Sep</v>
      </c>
      <c r="C53" s="159">
        <f ca="1">C28</f>
        <v>4096.5</v>
      </c>
      <c r="D53" s="101">
        <f ca="1">C53-$C$49</f>
        <v>0</v>
      </c>
      <c r="E53" s="79">
        <f t="shared" ref="E53:E57" ca="1" si="25">$D$49+D53</f>
        <v>4112.5</v>
      </c>
    </row>
    <row r="54" spans="1:5" x14ac:dyDescent="0.35">
      <c r="A54" s="114">
        <f>Expi3</f>
        <v>42720</v>
      </c>
      <c r="B54" s="74" t="str">
        <f>'Live Prices'!A21</f>
        <v>Dec</v>
      </c>
      <c r="C54" s="159" t="e">
        <f ca="1">D28</f>
        <v>#VALUE!</v>
      </c>
      <c r="D54" s="101" t="e">
        <f t="shared" ref="D54:D57" ca="1" si="26">C54-$C$49</f>
        <v>#VALUE!</v>
      </c>
      <c r="E54" s="79" t="e">
        <f t="shared" ca="1" si="25"/>
        <v>#VALUE!</v>
      </c>
    </row>
    <row r="55" spans="1:5" x14ac:dyDescent="0.35">
      <c r="A55" s="114">
        <f>Expi4</f>
        <v>42811</v>
      </c>
      <c r="B55" s="74" t="str">
        <f>'Live Prices'!A22</f>
        <v>Mar</v>
      </c>
      <c r="C55" s="159" t="e">
        <f ca="1">E28</f>
        <v>#VALUE!</v>
      </c>
      <c r="D55" s="101" t="e">
        <f t="shared" ca="1" si="26"/>
        <v>#VALUE!</v>
      </c>
      <c r="E55" s="79" t="e">
        <f t="shared" ca="1" si="25"/>
        <v>#VALUE!</v>
      </c>
    </row>
    <row r="56" spans="1:5" x14ac:dyDescent="0.35">
      <c r="A56" s="114">
        <f>Expi5</f>
        <v>42811</v>
      </c>
      <c r="B56" s="74" t="str">
        <f>'Live Prices'!A23</f>
        <v>Mar</v>
      </c>
      <c r="C56" s="159" t="e">
        <f ca="1">F28</f>
        <v>#VALUE!</v>
      </c>
      <c r="D56" s="101" t="e">
        <f ca="1">C56-$C$49</f>
        <v>#VALUE!</v>
      </c>
      <c r="E56" s="79" t="e">
        <f t="shared" ca="1" si="25"/>
        <v>#VALUE!</v>
      </c>
    </row>
    <row r="57" spans="1:5" x14ac:dyDescent="0.35">
      <c r="A57" s="114">
        <f>Expi6</f>
        <v>42902</v>
      </c>
      <c r="B57" s="74" t="str">
        <f>'Live Prices'!A24</f>
        <v>Jun</v>
      </c>
      <c r="C57" s="159" t="e">
        <f ca="1">G28</f>
        <v>#VALUE!</v>
      </c>
      <c r="D57" s="101" t="e">
        <f t="shared" ca="1" si="26"/>
        <v>#VALUE!</v>
      </c>
      <c r="E57" s="79" t="e">
        <f t="shared" ca="1" si="25"/>
        <v>#VALUE!</v>
      </c>
    </row>
    <row r="58" spans="1:5" x14ac:dyDescent="0.35">
      <c r="A58" s="114">
        <f>Expi7</f>
        <v>42902</v>
      </c>
      <c r="B58" s="74" t="str">
        <f>'Live Prices'!A25</f>
        <v>Jun</v>
      </c>
      <c r="C58" s="159" t="e">
        <f ca="1">H28</f>
        <v>#VALUE!</v>
      </c>
      <c r="D58" s="101" t="e">
        <f ca="1">C58-$C$49</f>
        <v>#VALUE!</v>
      </c>
      <c r="E58" s="79" t="e">
        <f ca="1">$D$49+D58</f>
        <v>#VALUE!</v>
      </c>
    </row>
    <row r="59" spans="1:5" ht="15" thickBot="1" x14ac:dyDescent="0.4">
      <c r="A59" s="115">
        <f>Expi8</f>
        <v>42902</v>
      </c>
      <c r="B59" s="81" t="str">
        <f>'Live Prices'!A26</f>
        <v>Jun</v>
      </c>
      <c r="C59" s="160" t="e">
        <f ca="1">I28</f>
        <v>#VALUE!</v>
      </c>
      <c r="D59" s="102" t="e">
        <f ca="1">C59-$C$49</f>
        <v>#VALUE!</v>
      </c>
      <c r="E59" s="82" t="e">
        <f ca="1">$D$49+D59</f>
        <v>#VALUE!</v>
      </c>
    </row>
    <row r="60" spans="1:5" x14ac:dyDescent="0.35">
      <c r="A60" s="9"/>
      <c r="B60" s="9"/>
      <c r="C60" s="72"/>
      <c r="D60" s="72"/>
    </row>
    <row r="62" spans="1:5" s="9" customFormat="1" x14ac:dyDescent="0.35"/>
    <row r="63" spans="1:5" s="9" customFormat="1" x14ac:dyDescent="0.35"/>
    <row r="64" spans="1:5" s="9" customFormat="1" x14ac:dyDescent="0.35">
      <c r="B64" s="71"/>
      <c r="C64" s="72"/>
    </row>
    <row r="65" spans="1:14" s="9" customFormat="1" x14ac:dyDescent="0.35">
      <c r="B65" s="72"/>
    </row>
    <row r="66" spans="1:14" s="9" customFormat="1" x14ac:dyDescent="0.35">
      <c r="B66" s="72"/>
    </row>
    <row r="67" spans="1:14" s="9" customFormat="1" x14ac:dyDescent="0.35">
      <c r="B67" s="72"/>
    </row>
    <row r="68" spans="1:14" s="9" customFormat="1" x14ac:dyDescent="0.35"/>
    <row r="69" spans="1:14" s="9" customFormat="1" x14ac:dyDescent="0.35"/>
    <row r="70" spans="1:14" s="9" customFormat="1" x14ac:dyDescent="0.35">
      <c r="K70" s="88"/>
      <c r="M70" s="88"/>
      <c r="N70" s="88"/>
    </row>
    <row r="71" spans="1:14" s="9" customFormat="1" x14ac:dyDescent="0.35">
      <c r="K71" s="88"/>
      <c r="M71" s="88"/>
      <c r="N71" s="88"/>
    </row>
    <row r="72" spans="1:14" s="9" customFormat="1" x14ac:dyDescent="0.35"/>
    <row r="73" spans="1:14" s="9" customFormat="1" x14ac:dyDescent="0.35"/>
    <row r="74" spans="1:14" s="9" customFormat="1" x14ac:dyDescent="0.35"/>
    <row r="75" spans="1:14" s="9" customFormat="1" x14ac:dyDescent="0.35"/>
    <row r="76" spans="1:14" s="9" customFormat="1" x14ac:dyDescent="0.35"/>
    <row r="77" spans="1:14" s="9" customFormat="1" x14ac:dyDescent="0.35"/>
    <row r="78" spans="1:14" s="9" customFormat="1" x14ac:dyDescent="0.35"/>
    <row r="79" spans="1:14" s="9" customFormat="1" x14ac:dyDescent="0.35">
      <c r="A79" s="176"/>
      <c r="B79" s="177"/>
      <c r="C79" s="177"/>
      <c r="D79" s="177"/>
    </row>
    <row r="80" spans="1:14" s="9" customFormat="1" x14ac:dyDescent="0.35"/>
    <row r="81" spans="1:4" s="9" customFormat="1" x14ac:dyDescent="0.35">
      <c r="A81" s="71"/>
      <c r="B81" s="11"/>
    </row>
    <row r="82" spans="1:4" s="9" customFormat="1" x14ac:dyDescent="0.35">
      <c r="A82" s="71"/>
      <c r="B82" s="11"/>
    </row>
    <row r="83" spans="1:4" s="9" customFormat="1" x14ac:dyDescent="0.35">
      <c r="B83" s="11"/>
    </row>
    <row r="84" spans="1:4" s="9" customFormat="1" x14ac:dyDescent="0.35">
      <c r="B84" s="11"/>
    </row>
    <row r="85" spans="1:4" s="9" customFormat="1" x14ac:dyDescent="0.35">
      <c r="B85" s="11"/>
    </row>
    <row r="86" spans="1:4" s="9" customFormat="1" x14ac:dyDescent="0.35"/>
    <row r="87" spans="1:4" s="9" customFormat="1" x14ac:dyDescent="0.35">
      <c r="A87" s="176"/>
      <c r="B87" s="177"/>
      <c r="C87" s="177"/>
      <c r="D87" s="177"/>
    </row>
    <row r="88" spans="1:4" s="9" customFormat="1" x14ac:dyDescent="0.35"/>
    <row r="89" spans="1:4" s="9" customFormat="1" x14ac:dyDescent="0.35">
      <c r="A89" s="71"/>
      <c r="B89" s="11"/>
    </row>
    <row r="90" spans="1:4" s="9" customFormat="1" x14ac:dyDescent="0.35">
      <c r="A90" s="71"/>
      <c r="B90" s="11"/>
    </row>
    <row r="91" spans="1:4" s="9" customFormat="1" x14ac:dyDescent="0.35">
      <c r="B91" s="11"/>
    </row>
    <row r="92" spans="1:4" s="9" customFormat="1" x14ac:dyDescent="0.35"/>
    <row r="93" spans="1:4" s="9" customFormat="1" x14ac:dyDescent="0.35"/>
    <row r="94" spans="1:4" s="9" customFormat="1" x14ac:dyDescent="0.35"/>
    <row r="95" spans="1:4" s="9" customFormat="1" x14ac:dyDescent="0.35"/>
    <row r="96" spans="1:4" s="9" customFormat="1" x14ac:dyDescent="0.35"/>
    <row r="97" spans="1:7" s="9" customFormat="1" x14ac:dyDescent="0.35"/>
    <row r="98" spans="1:7" s="9" customFormat="1" x14ac:dyDescent="0.35">
      <c r="C98" s="71"/>
      <c r="D98" s="71"/>
      <c r="E98" s="71"/>
      <c r="F98" s="71"/>
      <c r="G98" s="71"/>
    </row>
    <row r="99" spans="1:7" s="9" customFormat="1" x14ac:dyDescent="0.35">
      <c r="C99" s="88"/>
    </row>
    <row r="100" spans="1:7" s="9" customFormat="1" x14ac:dyDescent="0.35">
      <c r="C100" s="88"/>
    </row>
    <row r="101" spans="1:7" s="9" customFormat="1" x14ac:dyDescent="0.35"/>
    <row r="102" spans="1:7" s="9" customFormat="1" x14ac:dyDescent="0.35"/>
    <row r="103" spans="1:7" s="9" customFormat="1" x14ac:dyDescent="0.35"/>
    <row r="104" spans="1:7" s="9" customFormat="1" x14ac:dyDescent="0.35"/>
    <row r="105" spans="1:7" s="9" customFormat="1" x14ac:dyDescent="0.35">
      <c r="A105" s="104"/>
    </row>
    <row r="106" spans="1:7" s="9" customFormat="1" x14ac:dyDescent="0.35"/>
    <row r="107" spans="1:7" s="9" customFormat="1" x14ac:dyDescent="0.35"/>
    <row r="108" spans="1:7" s="9" customFormat="1" x14ac:dyDescent="0.35"/>
    <row r="109" spans="1:7" s="9" customFormat="1" x14ac:dyDescent="0.35"/>
    <row r="110" spans="1:7" s="9" customFormat="1" x14ac:dyDescent="0.35"/>
    <row r="111" spans="1:7" s="9" customFormat="1" x14ac:dyDescent="0.35"/>
    <row r="112" spans="1:7" s="9" customFormat="1" x14ac:dyDescent="0.35"/>
    <row r="113" s="9" customFormat="1" x14ac:dyDescent="0.35"/>
    <row r="114" s="9" customFormat="1" x14ac:dyDescent="0.35"/>
    <row r="115" s="9" customFormat="1" x14ac:dyDescent="0.35"/>
    <row r="116" s="9" customFormat="1" x14ac:dyDescent="0.35"/>
    <row r="117" s="9" customFormat="1" x14ac:dyDescent="0.35"/>
    <row r="118" s="9" customFormat="1" x14ac:dyDescent="0.35"/>
    <row r="119" s="9" customFormat="1" x14ac:dyDescent="0.35"/>
    <row r="120" s="9" customFormat="1" x14ac:dyDescent="0.35"/>
    <row r="121" s="9" customFormat="1" x14ac:dyDescent="0.35"/>
    <row r="122" s="9" customFormat="1" x14ac:dyDescent="0.35"/>
    <row r="123" s="9" customFormat="1" x14ac:dyDescent="0.35"/>
    <row r="124" s="9" customFormat="1" x14ac:dyDescent="0.35"/>
  </sheetData>
  <mergeCells count="3">
    <mergeCell ref="A47:D47"/>
    <mergeCell ref="A87:D87"/>
    <mergeCell ref="A79:D7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InsertButt">
          <controlPr defaultSize="0" autoLine="0" autoPict="0" r:id="rId5">
            <anchor moveWithCells="1">
              <from>
                <xdr:col>4</xdr:col>
                <xdr:colOff>819150</xdr:colOff>
                <xdr:row>38</xdr:row>
                <xdr:rowOff>127000</xdr:rowOff>
              </from>
              <to>
                <xdr:col>5</xdr:col>
                <xdr:colOff>1003300</xdr:colOff>
                <xdr:row>41</xdr:row>
                <xdr:rowOff>88900</xdr:rowOff>
              </to>
            </anchor>
          </controlPr>
        </control>
      </mc:Choice>
      <mc:Fallback>
        <control shapeId="1027" r:id="rId4" name="InsertBut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rateCalculationFX_sht">
    <tabColor theme="2" tint="-0.249977111117893"/>
  </sheetPr>
  <dimension ref="A3:P146"/>
  <sheetViews>
    <sheetView workbookViewId="0">
      <selection activeCell="G48" sqref="G48"/>
    </sheetView>
  </sheetViews>
  <sheetFormatPr defaultColWidth="11.453125" defaultRowHeight="14.5" x14ac:dyDescent="0.35"/>
  <cols>
    <col min="1" max="1" width="15.7265625" style="8" bestFit="1" customWidth="1"/>
    <col min="2" max="3" width="15.1796875" style="8" bestFit="1" customWidth="1"/>
    <col min="4" max="4" width="16.54296875" style="8" bestFit="1" customWidth="1"/>
    <col min="5" max="6" width="15.1796875" style="8" bestFit="1" customWidth="1"/>
    <col min="7" max="8" width="15.1796875" style="8" customWidth="1"/>
    <col min="9" max="16384" width="11.453125" style="8"/>
  </cols>
  <sheetData>
    <row r="3" spans="1:16" x14ac:dyDescent="0.35">
      <c r="D3" s="103"/>
    </row>
    <row r="4" spans="1:16" ht="15" thickBot="1" x14ac:dyDescent="0.4">
      <c r="J4" s="8" t="s">
        <v>23</v>
      </c>
      <c r="K4" s="8" t="s">
        <v>24</v>
      </c>
    </row>
    <row r="5" spans="1:16" x14ac:dyDescent="0.35">
      <c r="A5" s="42" t="s">
        <v>33</v>
      </c>
      <c r="B5" s="43"/>
      <c r="C5" s="43"/>
      <c r="D5" s="43"/>
      <c r="E5" s="43"/>
      <c r="F5" s="43"/>
      <c r="G5" s="43"/>
      <c r="H5" s="44"/>
      <c r="J5" s="28"/>
      <c r="K5" s="29" t="s">
        <v>2</v>
      </c>
      <c r="L5" s="30" t="s">
        <v>1</v>
      </c>
    </row>
    <row r="6" spans="1:16" x14ac:dyDescent="0.35">
      <c r="A6" s="45" t="s">
        <v>34</v>
      </c>
      <c r="B6" s="9">
        <f>_xll.RData("EUR=","Cf_CLOSE")</f>
        <v>1.1842000000000001</v>
      </c>
      <c r="C6" s="46"/>
      <c r="D6" s="46"/>
      <c r="E6" s="46"/>
      <c r="F6" s="46"/>
      <c r="G6" s="46"/>
      <c r="H6" s="47"/>
      <c r="J6" s="31">
        <f>ExpiFX1</f>
        <v>42187</v>
      </c>
      <c r="K6" s="32" t="e">
        <f ca="1">B23</f>
        <v>#VALUE!</v>
      </c>
      <c r="L6" s="33" t="e">
        <f ca="1">IF('Live Prices'!$A$8="Fut",B23,B22)</f>
        <v>#VALUE!</v>
      </c>
    </row>
    <row r="7" spans="1:16" x14ac:dyDescent="0.35">
      <c r="A7" s="48" t="s">
        <v>35</v>
      </c>
      <c r="B7" s="46">
        <f>MROUND($B$6*1000,B8)</f>
        <v>1185</v>
      </c>
      <c r="C7" s="46">
        <f>MROUND($B$6*1000,C8)</f>
        <v>1185</v>
      </c>
      <c r="D7" s="46">
        <f t="shared" ref="D7:H7" si="0">MROUND($B$6*1000,D8)</f>
        <v>1185</v>
      </c>
      <c r="E7" s="46">
        <f t="shared" si="0"/>
        <v>1185</v>
      </c>
      <c r="F7" s="46">
        <f t="shared" si="0"/>
        <v>1185</v>
      </c>
      <c r="G7" s="46">
        <f t="shared" si="0"/>
        <v>1185</v>
      </c>
      <c r="H7" s="47">
        <f t="shared" si="0"/>
        <v>1185</v>
      </c>
      <c r="J7" s="31">
        <f>ExpiFX2</f>
        <v>42223</v>
      </c>
      <c r="K7" s="32" t="e">
        <f ca="1">C23</f>
        <v>#VALUE!</v>
      </c>
      <c r="L7" s="33" t="e">
        <f ca="1">IF('Live Prices'!$A$8="Fut",C23,C22)</f>
        <v>#VALUE!</v>
      </c>
    </row>
    <row r="8" spans="1:16" x14ac:dyDescent="0.35">
      <c r="A8" s="48" t="s">
        <v>36</v>
      </c>
      <c r="B8" s="60">
        <v>5</v>
      </c>
      <c r="C8" s="60">
        <v>5</v>
      </c>
      <c r="D8" s="60">
        <v>5</v>
      </c>
      <c r="E8" s="60">
        <v>5</v>
      </c>
      <c r="F8" s="60">
        <v>5</v>
      </c>
      <c r="G8" s="60">
        <v>5</v>
      </c>
      <c r="H8" s="61">
        <v>5</v>
      </c>
      <c r="J8" s="31">
        <f>ExpiFX3</f>
        <v>42251</v>
      </c>
      <c r="K8" s="32" t="e">
        <f ca="1">D23</f>
        <v>#VALUE!</v>
      </c>
      <c r="L8" s="33" t="e">
        <f ca="1">IF('Live Prices'!$A$8="Fut",D23,D22)</f>
        <v>#VALUE!</v>
      </c>
    </row>
    <row r="9" spans="1:16" x14ac:dyDescent="0.35">
      <c r="A9" s="48" t="s">
        <v>37</v>
      </c>
      <c r="B9" s="49" t="str">
        <f>VLOOKUP(MONTH(B11),'Live Prices'!$A$44:$C$56,3)&amp;MOD(YEAR(B11),2010)</f>
        <v>S5</v>
      </c>
      <c r="C9" s="49" t="str">
        <f>VLOOKUP(MONTH(C11),'Live Prices'!$A$44:$C$56,3)&amp;MOD(YEAR(C11),2010)</f>
        <v>T5</v>
      </c>
      <c r="D9" s="49" t="str">
        <f>VLOOKUP(MONTH(D11),'Live Prices'!$A$44:$C$56,3)&amp;MOD(YEAR(D11),2010)</f>
        <v>U5</v>
      </c>
      <c r="E9" s="49" t="str">
        <f>VLOOKUP(MONTH(E11),'Live Prices'!$A$44:$C$56,3)&amp;MOD(YEAR(E11),2010)</f>
        <v>X5</v>
      </c>
      <c r="F9" s="49" t="str">
        <f>VLOOKUP(MONTH(F11),'Live Prices'!$A$44:$C$56,3)&amp;MOD(YEAR(F11),2010)</f>
        <v>X5</v>
      </c>
      <c r="G9" s="49" t="str">
        <f>VLOOKUP(MONTH(G11),'Live Prices'!$A$44:$C$56,3)&amp;MOD(YEAR(G11),2010)</f>
        <v>X5</v>
      </c>
      <c r="H9" s="50" t="str">
        <f>VLOOKUP(MONTH(H11),'Live Prices'!$A$44:$C$56,3)&amp;MOD(YEAR(H11),2010)</f>
        <v>O6</v>
      </c>
      <c r="J9" s="31">
        <f>ExpiFX4</f>
        <v>42342</v>
      </c>
      <c r="K9" s="32" t="e">
        <f ca="1">E23</f>
        <v>#VALUE!</v>
      </c>
      <c r="L9" s="33" t="e">
        <f ca="1">IF('Live Prices'!$A$8="Fut",E23,E22)</f>
        <v>#VALUE!</v>
      </c>
    </row>
    <row r="10" spans="1:16" ht="15" thickBot="1" x14ac:dyDescent="0.4">
      <c r="A10" s="48" t="s">
        <v>38</v>
      </c>
      <c r="B10" s="49" t="str">
        <f>VLOOKUP(MONTH(B11),'Live Prices'!$A$44:$C$56,2)&amp;MOD(YEAR(B11),2010)</f>
        <v>G5</v>
      </c>
      <c r="C10" s="49" t="str">
        <f>VLOOKUP(MONTH(C11),'Live Prices'!$A$44:$C$56,2)&amp;MOD(YEAR(C11),2010)</f>
        <v>H5</v>
      </c>
      <c r="D10" s="49" t="str">
        <f>VLOOKUP(MONTH(D11),'Live Prices'!$A$44:$C$56,2)&amp;MOD(YEAR(D11),2010)</f>
        <v>I5</v>
      </c>
      <c r="E10" s="49" t="str">
        <f>VLOOKUP(MONTH(E11),'Live Prices'!$A$44:$C$56,2)&amp;MOD(YEAR(E11),2010)</f>
        <v>L5</v>
      </c>
      <c r="F10" s="49" t="str">
        <f>VLOOKUP(MONTH(F11),'Live Prices'!$A$44:$C$56,2)&amp;MOD(YEAR(F11),2010)</f>
        <v>L5</v>
      </c>
      <c r="G10" s="49" t="str">
        <f>VLOOKUP(MONTH(G11),'Live Prices'!$A$44:$C$56,2)&amp;MOD(YEAR(G11),2010)</f>
        <v>L5</v>
      </c>
      <c r="H10" s="50" t="str">
        <f>VLOOKUP(MONTH(H11),'Live Prices'!$A$44:$C$56,2)&amp;MOD(YEAR(H11),2010)</f>
        <v>C6</v>
      </c>
      <c r="J10" s="31">
        <f>ExpiFX5</f>
        <v>42342</v>
      </c>
      <c r="K10" s="32" t="e">
        <f ca="1">F23</f>
        <v>#VALUE!</v>
      </c>
      <c r="L10" s="33" t="e">
        <f ca="1">IF('Live Prices'!$A$8="Fut",F23,F22)</f>
        <v>#VALUE!</v>
      </c>
    </row>
    <row r="11" spans="1:16" ht="15" thickBot="1" x14ac:dyDescent="0.4">
      <c r="A11" s="94"/>
      <c r="B11" s="95">
        <f>A48</f>
        <v>42187</v>
      </c>
      <c r="C11" s="95">
        <f>A49</f>
        <v>42223</v>
      </c>
      <c r="D11" s="95">
        <f>A50</f>
        <v>42251</v>
      </c>
      <c r="E11" s="95">
        <f>A51</f>
        <v>42342</v>
      </c>
      <c r="F11" s="95">
        <f>A52</f>
        <v>42342</v>
      </c>
      <c r="G11" s="95">
        <f>A53</f>
        <v>42342</v>
      </c>
      <c r="H11" s="96">
        <f>A54</f>
        <v>42433</v>
      </c>
      <c r="I11" s="69"/>
      <c r="J11" s="31">
        <f>ExpiFX6</f>
        <v>42342</v>
      </c>
      <c r="K11" s="32" t="e">
        <f ca="1">G23</f>
        <v>#VALUE!</v>
      </c>
      <c r="L11" s="33" t="e">
        <f ca="1">IF('Live Prices'!$A$8="Fut",G23,G22)</f>
        <v>#VALUE!</v>
      </c>
    </row>
    <row r="12" spans="1:16" ht="15" thickBot="1" x14ac:dyDescent="0.4">
      <c r="A12" s="42" t="s">
        <v>5</v>
      </c>
      <c r="B12" s="65">
        <f ca="1">MaTFX1</f>
        <v>-6.0794520547945208</v>
      </c>
      <c r="C12" s="65">
        <f ca="1">MaTFX2</f>
        <v>-5.9808219178082194</v>
      </c>
      <c r="D12" s="65">
        <f ca="1">MaTFX3</f>
        <v>-5.904109589041096</v>
      </c>
      <c r="E12" s="65">
        <f ca="1">MaTFX4</f>
        <v>-5.6547945205479451</v>
      </c>
      <c r="F12" s="65">
        <f ca="1">MaTFX4</f>
        <v>-5.6547945205479451</v>
      </c>
      <c r="G12" s="65">
        <f ca="1">MaTFX4</f>
        <v>-5.6547945205479451</v>
      </c>
      <c r="H12" s="66">
        <f ca="1">MaTFX4</f>
        <v>-5.6547945205479451</v>
      </c>
      <c r="J12" s="34">
        <f>ExpiFX7</f>
        <v>42433</v>
      </c>
      <c r="K12" s="35" t="e">
        <f ca="1">H23</f>
        <v>#VALUE!</v>
      </c>
      <c r="L12" s="36" t="e">
        <f ca="1">IF('Live Prices'!$A$8="Fut",H23,H22)</f>
        <v>#VALUE!</v>
      </c>
    </row>
    <row r="13" spans="1:16" x14ac:dyDescent="0.35">
      <c r="A13" s="48" t="s">
        <v>25</v>
      </c>
      <c r="B13" s="46">
        <f>IF($B$7/1000&lt;B6,(B7+B8)/1000,B7/1000)</f>
        <v>1.1850000000000001</v>
      </c>
      <c r="C13" s="46">
        <f>$B$13</f>
        <v>1.1850000000000001</v>
      </c>
      <c r="D13" s="46">
        <f>$B$13</f>
        <v>1.1850000000000001</v>
      </c>
      <c r="E13" s="46">
        <f>$B$13</f>
        <v>1.1850000000000001</v>
      </c>
      <c r="F13" s="46">
        <f t="shared" ref="F13:H13" si="1">$B$13</f>
        <v>1.1850000000000001</v>
      </c>
      <c r="G13" s="46">
        <f t="shared" si="1"/>
        <v>1.1850000000000001</v>
      </c>
      <c r="H13" s="47">
        <f t="shared" si="1"/>
        <v>1.1850000000000001</v>
      </c>
    </row>
    <row r="14" spans="1:16" ht="15" thickBot="1" x14ac:dyDescent="0.4">
      <c r="A14" s="48" t="s">
        <v>4</v>
      </c>
      <c r="B14" s="46">
        <f>B13-($B$8/1000)</f>
        <v>1.1800000000000002</v>
      </c>
      <c r="C14" s="46">
        <f t="shared" ref="C14:E14" si="2">C13-($B$8/1000)</f>
        <v>1.1800000000000002</v>
      </c>
      <c r="D14" s="46">
        <f t="shared" si="2"/>
        <v>1.1800000000000002</v>
      </c>
      <c r="E14" s="46">
        <f t="shared" si="2"/>
        <v>1.1800000000000002</v>
      </c>
      <c r="F14" s="46">
        <f t="shared" ref="F14:H14" si="3">F13-($B$8/1000)</f>
        <v>1.1800000000000002</v>
      </c>
      <c r="G14" s="46">
        <f t="shared" si="3"/>
        <v>1.1800000000000002</v>
      </c>
      <c r="H14" s="47">
        <f t="shared" si="3"/>
        <v>1.1800000000000002</v>
      </c>
    </row>
    <row r="15" spans="1:16" x14ac:dyDescent="0.35">
      <c r="A15" s="48" t="s">
        <v>39</v>
      </c>
      <c r="B15" s="46" t="str">
        <f>_xll.RData( "1URO"&amp;B13*1000&amp;B10,"cf_close")</f>
        <v>The record could not be found</v>
      </c>
      <c r="C15" s="46" t="str">
        <f>_xll.RData( "1URO"&amp;C13*1000&amp;C10,"cf_close")</f>
        <v>The record could not be found</v>
      </c>
      <c r="D15" s="46" t="str">
        <f>_xll.RData( "1URO"&amp;D13*1000&amp;D10,"cf_close")</f>
        <v>The record could not be found</v>
      </c>
      <c r="E15" s="46" t="str">
        <f>_xll.RData( "1URO"&amp;E13*1000&amp;E10,"cf_close")</f>
        <v>The record could not be found</v>
      </c>
      <c r="F15" s="46" t="str">
        <f>_xll.RData( "1URO"&amp;F13*1000&amp;F10,"cf_close")</f>
        <v>The record could not be found</v>
      </c>
      <c r="G15" s="46" t="str">
        <f>_xll.RData( "1URO"&amp;G13*1000&amp;G10,"cf_close")</f>
        <v>The record could not be found</v>
      </c>
      <c r="H15" s="47" t="str">
        <f>_xll.RData( "1URO"&amp;H13*1000&amp;H10,"cf_close")</f>
        <v>The record could not be found</v>
      </c>
      <c r="I15" s="20"/>
      <c r="J15" s="20"/>
      <c r="K15" s="20"/>
      <c r="L15" s="20"/>
      <c r="M15" s="20"/>
      <c r="N15" s="20"/>
      <c r="O15" s="20"/>
      <c r="P15" s="21"/>
    </row>
    <row r="16" spans="1:16" x14ac:dyDescent="0.35">
      <c r="A16" s="48" t="s">
        <v>40</v>
      </c>
      <c r="B16" s="46" t="str">
        <f>_xll.RData( "1URO"&amp;B14*1000&amp;B10,"cf_close")</f>
        <v>The record could not be found</v>
      </c>
      <c r="C16" s="46" t="str">
        <f>_xll.RData( "1URO"&amp;C14*1000&amp;C10,"cf_close")</f>
        <v>The record could not be found</v>
      </c>
      <c r="D16" s="46" t="str">
        <f>_xll.RData( "1URO"&amp;D14*1000&amp;D10,"cf_close")</f>
        <v>The record could not be found</v>
      </c>
      <c r="E16" s="46" t="str">
        <f>_xll.RData( "1URO"&amp;E14*1000&amp;E10,"cf_close")</f>
        <v>The record could not be found</v>
      </c>
      <c r="F16" s="46" t="str">
        <f>_xll.RData( "1URO"&amp;F14*1000&amp;F10,"cf_close")</f>
        <v>The record could not be found</v>
      </c>
      <c r="G16" s="46" t="str">
        <f>_xll.RData( "1URO"&amp;G14*1000&amp;G10,"cf_close")</f>
        <v>The record could not be found</v>
      </c>
      <c r="H16" s="47" t="str">
        <f>_xll.RData( "1URO"&amp;H14*1000&amp;H10,"cf_close")</f>
        <v>The record could not be found</v>
      </c>
      <c r="I16" s="23"/>
      <c r="J16" s="22" t="s">
        <v>6</v>
      </c>
      <c r="K16" s="23"/>
      <c r="L16" s="23"/>
      <c r="M16" s="23"/>
      <c r="N16" s="23"/>
      <c r="O16" s="23"/>
      <c r="P16" s="24"/>
    </row>
    <row r="17" spans="1:16" x14ac:dyDescent="0.35">
      <c r="A17" s="48" t="s">
        <v>41</v>
      </c>
      <c r="B17" s="46" t="str">
        <f>_xll.RData( "1URO"&amp;B13*1000&amp;B9,"cf_close")</f>
        <v>The record could not be found</v>
      </c>
      <c r="C17" s="46" t="str">
        <f>_xll.RData( "1URO"&amp;C13*1000&amp;C9,"cf_close")</f>
        <v>The record could not be found</v>
      </c>
      <c r="D17" s="46" t="str">
        <f>_xll.RData( "1URO"&amp;D13*1000&amp;D9,"cf_close")</f>
        <v>The record could not be found</v>
      </c>
      <c r="E17" s="46" t="str">
        <f>_xll.RData( "1URO"&amp;E13*1000&amp;E9,"cf_close")</f>
        <v>The record could not be found</v>
      </c>
      <c r="F17" s="46" t="str">
        <f>_xll.RData( "1URO"&amp;F13*1000&amp;F9,"cf_close")</f>
        <v>The record could not be found</v>
      </c>
      <c r="G17" s="46" t="str">
        <f>_xll.RData( "1URO"&amp;G13*1000&amp;G9,"cf_close")</f>
        <v>The record could not be found</v>
      </c>
      <c r="H17" s="47" t="str">
        <f>_xll.RData( "1URO"&amp;H13*1000&amp;H9,"cf_close")</f>
        <v>The record could not be found</v>
      </c>
      <c r="I17" s="23"/>
      <c r="J17" s="22" t="s">
        <v>7</v>
      </c>
      <c r="K17" s="23"/>
      <c r="L17" s="23"/>
      <c r="M17" s="23"/>
      <c r="N17" s="23"/>
      <c r="O17" s="23"/>
      <c r="P17" s="24"/>
    </row>
    <row r="18" spans="1:16" x14ac:dyDescent="0.35">
      <c r="A18" s="48" t="s">
        <v>42</v>
      </c>
      <c r="B18" s="46" t="str">
        <f>_xll.RData( "1URO"&amp;B14*1000&amp;B9,"cf_close")</f>
        <v>The record could not be found</v>
      </c>
      <c r="C18" s="46" t="str">
        <f>_xll.RData( "1URO"&amp;C14*1000&amp;C9,"cf_close")</f>
        <v>The record could not be found</v>
      </c>
      <c r="D18" s="46" t="str">
        <f>_xll.RData( "1URO"&amp;D14*1000&amp;D9,"cf_close")</f>
        <v>The record could not be found</v>
      </c>
      <c r="E18" s="46" t="str">
        <f>_xll.RData( "1URO"&amp;E14*1000&amp;E9,"cf_close")</f>
        <v>The record could not be found</v>
      </c>
      <c r="F18" s="46" t="str">
        <f>_xll.RData( "1URO"&amp;F14*1000&amp;F9,"cf_close")</f>
        <v>The record could not be found</v>
      </c>
      <c r="G18" s="46" t="str">
        <f>_xll.RData( "1URO"&amp;G14*1000&amp;G9,"cf_close")</f>
        <v>The record could not be found</v>
      </c>
      <c r="H18" s="47" t="str">
        <f>_xll.RData( "1URO"&amp;H14*1000&amp;H9,"cf_close")</f>
        <v>The record could not be found</v>
      </c>
      <c r="I18" s="23"/>
      <c r="J18" s="22"/>
      <c r="K18" s="23"/>
      <c r="L18" s="23"/>
      <c r="M18" s="23"/>
      <c r="N18" s="23"/>
      <c r="O18" s="23"/>
      <c r="P18" s="24"/>
    </row>
    <row r="19" spans="1:16" ht="15" x14ac:dyDescent="0.4">
      <c r="A19" s="48" t="s">
        <v>12</v>
      </c>
      <c r="B19" s="9" t="e">
        <f t="shared" ref="B19:E19" si="4">B16-B18</f>
        <v>#VALUE!</v>
      </c>
      <c r="C19" s="9" t="e">
        <f t="shared" si="4"/>
        <v>#VALUE!</v>
      </c>
      <c r="D19" s="9" t="e">
        <f t="shared" si="4"/>
        <v>#VALUE!</v>
      </c>
      <c r="E19" s="9" t="e">
        <f t="shared" si="4"/>
        <v>#VALUE!</v>
      </c>
      <c r="F19" s="9" t="e">
        <f t="shared" ref="F19:H19" si="5">F16-F18</f>
        <v>#VALUE!</v>
      </c>
      <c r="G19" s="9" t="e">
        <f t="shared" si="5"/>
        <v>#VALUE!</v>
      </c>
      <c r="H19" s="18" t="e">
        <f t="shared" si="5"/>
        <v>#VALUE!</v>
      </c>
      <c r="I19" s="23"/>
      <c r="J19" s="154" t="s">
        <v>175</v>
      </c>
      <c r="K19" s="22"/>
      <c r="L19" s="22"/>
      <c r="M19" s="22"/>
      <c r="N19" s="23"/>
      <c r="O19" s="23"/>
      <c r="P19" s="24"/>
    </row>
    <row r="20" spans="1:16" x14ac:dyDescent="0.35">
      <c r="A20" s="48" t="s">
        <v>13</v>
      </c>
      <c r="B20" s="9" t="e">
        <f t="shared" ref="B20:E20" si="6">B15-B17</f>
        <v>#VALUE!</v>
      </c>
      <c r="C20" s="9" t="e">
        <f t="shared" si="6"/>
        <v>#VALUE!</v>
      </c>
      <c r="D20" s="9" t="e">
        <f t="shared" si="6"/>
        <v>#VALUE!</v>
      </c>
      <c r="E20" s="9" t="e">
        <f t="shared" si="6"/>
        <v>#VALUE!</v>
      </c>
      <c r="F20" s="9" t="e">
        <f t="shared" ref="F20:H20" si="7">F15-F17</f>
        <v>#VALUE!</v>
      </c>
      <c r="G20" s="9" t="e">
        <f t="shared" si="7"/>
        <v>#VALUE!</v>
      </c>
      <c r="H20" s="18" t="e">
        <f t="shared" si="7"/>
        <v>#VALUE!</v>
      </c>
      <c r="I20" s="23"/>
      <c r="J20" s="25"/>
      <c r="K20" s="23"/>
      <c r="L20" s="23"/>
      <c r="M20" s="23"/>
      <c r="N20" s="23"/>
      <c r="O20" s="23"/>
      <c r="P20" s="24"/>
    </row>
    <row r="21" spans="1:16" ht="15" thickBot="1" x14ac:dyDescent="0.4">
      <c r="A21" s="51" t="s">
        <v>14</v>
      </c>
      <c r="B21" s="52">
        <f t="shared" ref="B21:E21" si="8">B13-B14</f>
        <v>4.9999999999998934E-3</v>
      </c>
      <c r="C21" s="52">
        <f t="shared" si="8"/>
        <v>4.9999999999998934E-3</v>
      </c>
      <c r="D21" s="52">
        <f t="shared" si="8"/>
        <v>4.9999999999998934E-3</v>
      </c>
      <c r="E21" s="52">
        <f t="shared" si="8"/>
        <v>4.9999999999998934E-3</v>
      </c>
      <c r="F21" s="52">
        <f t="shared" ref="F21:H21" si="9">F13-F14</f>
        <v>4.9999999999998934E-3</v>
      </c>
      <c r="G21" s="52">
        <f t="shared" si="9"/>
        <v>4.9999999999998934E-3</v>
      </c>
      <c r="H21" s="53">
        <f t="shared" si="9"/>
        <v>4.9999999999998934E-3</v>
      </c>
      <c r="I21" s="23"/>
      <c r="J21" s="22" t="s">
        <v>8</v>
      </c>
      <c r="K21" s="23"/>
      <c r="L21" s="23"/>
      <c r="M21" s="23"/>
      <c r="N21" s="23"/>
      <c r="O21" s="23"/>
      <c r="P21" s="24"/>
    </row>
    <row r="22" spans="1:16" x14ac:dyDescent="0.35">
      <c r="A22" s="17" t="s">
        <v>18</v>
      </c>
      <c r="B22" s="70" t="e">
        <f ca="1">-LN((B13*B19-B14*B20)/($B$6*B21))/B12</f>
        <v>#VALUE!</v>
      </c>
      <c r="C22" s="70" t="e">
        <f t="shared" ref="C22:E22" ca="1" si="10">-LN((C13*C19-C14*C20)/($B$6*C21))/C12</f>
        <v>#VALUE!</v>
      </c>
      <c r="D22" s="70" t="e">
        <f t="shared" ca="1" si="10"/>
        <v>#VALUE!</v>
      </c>
      <c r="E22" s="70" t="e">
        <f t="shared" ca="1" si="10"/>
        <v>#VALUE!</v>
      </c>
      <c r="F22" s="70" t="e">
        <f t="shared" ref="F22:H22" ca="1" si="11">-LN((F13*F19-F14*F20)/($B$6*F21))/F12</f>
        <v>#VALUE!</v>
      </c>
      <c r="G22" s="70" t="e">
        <f t="shared" ca="1" si="11"/>
        <v>#VALUE!</v>
      </c>
      <c r="H22" s="112" t="e">
        <f t="shared" ca="1" si="11"/>
        <v>#VALUE!</v>
      </c>
      <c r="I22" s="23"/>
      <c r="J22" s="22" t="s">
        <v>9</v>
      </c>
      <c r="K22" s="23"/>
      <c r="L22" s="23"/>
      <c r="M22" s="23"/>
      <c r="N22" s="23"/>
      <c r="O22" s="23"/>
      <c r="P22" s="24"/>
    </row>
    <row r="23" spans="1:16" x14ac:dyDescent="0.35">
      <c r="A23" s="45" t="s">
        <v>19</v>
      </c>
      <c r="B23" s="91" t="e">
        <f t="shared" ref="B23:E23" ca="1" si="12">-LN((EXP(-B22*B12)*$B$6-B16+B18)/B14)/B12</f>
        <v>#VALUE!</v>
      </c>
      <c r="C23" s="91" t="e">
        <f t="shared" ca="1" si="12"/>
        <v>#VALUE!</v>
      </c>
      <c r="D23" s="91" t="e">
        <f t="shared" ca="1" si="12"/>
        <v>#VALUE!</v>
      </c>
      <c r="E23" s="91" t="e">
        <f t="shared" ca="1" si="12"/>
        <v>#VALUE!</v>
      </c>
      <c r="F23" s="91" t="e">
        <f t="shared" ref="F23:H23" ca="1" si="13">-LN((EXP(-F22*F12)*$B$6-F16+F18)/F14)/F12</f>
        <v>#VALUE!</v>
      </c>
      <c r="G23" s="91" t="e">
        <f t="shared" ca="1" si="13"/>
        <v>#VALUE!</v>
      </c>
      <c r="H23" s="113" t="e">
        <f t="shared" ca="1" si="13"/>
        <v>#VALUE!</v>
      </c>
      <c r="I23" s="23"/>
      <c r="J23" s="25"/>
      <c r="K23" s="23"/>
      <c r="L23" s="23"/>
      <c r="M23" s="23"/>
      <c r="N23" s="23"/>
      <c r="O23" s="23"/>
      <c r="P23" s="24"/>
    </row>
    <row r="24" spans="1:16" x14ac:dyDescent="0.35">
      <c r="A24" s="48" t="s">
        <v>15</v>
      </c>
      <c r="B24" s="11" t="e">
        <f t="shared" ref="B24:E24" ca="1" si="14">B22*B12</f>
        <v>#VALUE!</v>
      </c>
      <c r="C24" s="11" t="e">
        <f t="shared" ca="1" si="14"/>
        <v>#VALUE!</v>
      </c>
      <c r="D24" s="11" t="e">
        <f t="shared" ca="1" si="14"/>
        <v>#VALUE!</v>
      </c>
      <c r="E24" s="11" t="e">
        <f t="shared" ca="1" si="14"/>
        <v>#VALUE!</v>
      </c>
      <c r="F24" s="11" t="e">
        <f t="shared" ref="F24:H24" ca="1" si="15">F22*F12</f>
        <v>#VALUE!</v>
      </c>
      <c r="G24" s="11" t="e">
        <f t="shared" ca="1" si="15"/>
        <v>#VALUE!</v>
      </c>
      <c r="H24" s="10" t="e">
        <f t="shared" ca="1" si="15"/>
        <v>#VALUE!</v>
      </c>
      <c r="I24" s="23"/>
      <c r="J24" s="25"/>
      <c r="K24" s="23"/>
      <c r="L24" s="23"/>
      <c r="M24" s="23"/>
      <c r="N24" s="23"/>
      <c r="O24" s="23"/>
      <c r="P24" s="24"/>
    </row>
    <row r="25" spans="1:16" x14ac:dyDescent="0.35">
      <c r="A25" s="48" t="s">
        <v>16</v>
      </c>
      <c r="B25" s="11" t="e">
        <f t="shared" ref="B25:E25" ca="1" si="16">B23*B12</f>
        <v>#VALUE!</v>
      </c>
      <c r="C25" s="11" t="e">
        <f t="shared" ca="1" si="16"/>
        <v>#VALUE!</v>
      </c>
      <c r="D25" s="11" t="e">
        <f t="shared" ca="1" si="16"/>
        <v>#VALUE!</v>
      </c>
      <c r="E25" s="11" t="e">
        <f t="shared" ca="1" si="16"/>
        <v>#VALUE!</v>
      </c>
      <c r="F25" s="11" t="e">
        <f t="shared" ref="F25:H25" ca="1" si="17">F23*F12</f>
        <v>#VALUE!</v>
      </c>
      <c r="G25" s="11" t="e">
        <f t="shared" ca="1" si="17"/>
        <v>#VALUE!</v>
      </c>
      <c r="H25" s="10" t="e">
        <f t="shared" ca="1" si="17"/>
        <v>#VALUE!</v>
      </c>
      <c r="I25" s="23"/>
      <c r="J25" s="22" t="s">
        <v>10</v>
      </c>
      <c r="K25" s="23"/>
      <c r="L25" s="23"/>
      <c r="M25" s="23"/>
      <c r="N25" s="23"/>
      <c r="O25" s="23"/>
      <c r="P25" s="24"/>
    </row>
    <row r="26" spans="1:16" ht="15" thickBot="1" x14ac:dyDescent="0.4">
      <c r="A26" s="51" t="s">
        <v>20</v>
      </c>
      <c r="B26" s="92" t="e">
        <f t="shared" ref="B26:E26" ca="1" si="18">B24-B25</f>
        <v>#VALUE!</v>
      </c>
      <c r="C26" s="92" t="e">
        <f t="shared" ca="1" si="18"/>
        <v>#VALUE!</v>
      </c>
      <c r="D26" s="92" t="e">
        <f t="shared" ca="1" si="18"/>
        <v>#VALUE!</v>
      </c>
      <c r="E26" s="92" t="e">
        <f t="shared" ca="1" si="18"/>
        <v>#VALUE!</v>
      </c>
      <c r="F26" s="92" t="e">
        <f t="shared" ref="F26:H26" ca="1" si="19">F24-F25</f>
        <v>#VALUE!</v>
      </c>
      <c r="G26" s="92" t="e">
        <f t="shared" ca="1" si="19"/>
        <v>#VALUE!</v>
      </c>
      <c r="H26" s="93" t="e">
        <f t="shared" ca="1" si="19"/>
        <v>#VALUE!</v>
      </c>
      <c r="I26" s="23"/>
      <c r="J26" s="22" t="s">
        <v>11</v>
      </c>
      <c r="K26" s="23"/>
      <c r="L26" s="23"/>
      <c r="M26" s="23"/>
      <c r="N26" s="23"/>
      <c r="O26" s="23"/>
      <c r="P26" s="24"/>
    </row>
    <row r="27" spans="1:16" ht="15" thickBot="1" x14ac:dyDescent="0.4">
      <c r="A27" s="57" t="s">
        <v>89</v>
      </c>
      <c r="B27" s="90" t="e">
        <f>(B14*B20-B13*B19)/(B20-B16+B18)</f>
        <v>#VALUE!</v>
      </c>
      <c r="C27" s="90" t="e">
        <f t="shared" ref="C27:E27" si="20">(C14*C20-C13*C19)/(C20-C16+C18)</f>
        <v>#VALUE!</v>
      </c>
      <c r="D27" s="90" t="e">
        <f t="shared" si="20"/>
        <v>#VALUE!</v>
      </c>
      <c r="E27" s="90" t="e">
        <f t="shared" si="20"/>
        <v>#VALUE!</v>
      </c>
      <c r="F27" s="90" t="e">
        <f t="shared" ref="F27:H27" si="21">(F14*F20-F13*F19)/(F20-F16+F18)</f>
        <v>#VALUE!</v>
      </c>
      <c r="G27" s="90" t="e">
        <f t="shared" si="21"/>
        <v>#VALUE!</v>
      </c>
      <c r="H27" s="64" t="e">
        <f t="shared" si="21"/>
        <v>#VALUE!</v>
      </c>
      <c r="I27" s="26"/>
      <c r="J27" s="26"/>
      <c r="K27" s="26"/>
      <c r="L27" s="26"/>
      <c r="M27" s="26"/>
      <c r="N27" s="26"/>
      <c r="O27" s="27"/>
    </row>
    <row r="28" spans="1:16" ht="15" thickBot="1" x14ac:dyDescent="0.4">
      <c r="A28" s="51"/>
      <c r="B28" s="52" t="e">
        <f ca="1">$B$6*EXP((B23-B22)*B12)</f>
        <v>#VALUE!</v>
      </c>
      <c r="C28" s="73" t="e">
        <f t="shared" ref="C28:E28" ca="1" si="22">$B$6*EXP((C23-C22)*C12)</f>
        <v>#VALUE!</v>
      </c>
      <c r="D28" s="52" t="e">
        <f t="shared" ca="1" si="22"/>
        <v>#VALUE!</v>
      </c>
      <c r="E28" s="73" t="e">
        <f t="shared" ca="1" si="22"/>
        <v>#VALUE!</v>
      </c>
      <c r="F28" s="73" t="e">
        <f t="shared" ref="F28:H28" ca="1" si="23">$B$6*EXP((F23-F22)*F12)</f>
        <v>#VALUE!</v>
      </c>
      <c r="G28" s="73" t="e">
        <f t="shared" ca="1" si="23"/>
        <v>#VALUE!</v>
      </c>
      <c r="H28" s="165" t="e">
        <f t="shared" ca="1" si="23"/>
        <v>#VALUE!</v>
      </c>
    </row>
    <row r="29" spans="1:16" x14ac:dyDescent="0.35">
      <c r="B29" s="68"/>
      <c r="C29" s="68"/>
      <c r="D29" s="68"/>
      <c r="E29" s="68"/>
      <c r="F29" s="68"/>
    </row>
    <row r="30" spans="1:16" ht="15" thickBot="1" x14ac:dyDescent="0.4">
      <c r="A30" s="8" t="s">
        <v>67</v>
      </c>
      <c r="B30" s="39"/>
      <c r="C30" s="40"/>
      <c r="D30" s="40"/>
    </row>
    <row r="31" spans="1:16" x14ac:dyDescent="0.35">
      <c r="A31" s="17" t="s">
        <v>172</v>
      </c>
      <c r="B31" s="55">
        <f>_xll.RData(A31,"EXPIR_DATE")</f>
        <v>44424</v>
      </c>
      <c r="C31" s="62">
        <f>_xll.RData(A31,"CF_CLOSE")</f>
        <v>1.1843000000000001</v>
      </c>
      <c r="D31" s="67"/>
      <c r="E31" s="163"/>
      <c r="F31" s="163"/>
      <c r="G31" s="163"/>
      <c r="H31" s="163"/>
      <c r="I31" s="162"/>
    </row>
    <row r="32" spans="1:16" x14ac:dyDescent="0.35">
      <c r="A32" s="45" t="s">
        <v>173</v>
      </c>
      <c r="B32" s="54">
        <f>_xll.RData(A32,"EXPIR_DATE")</f>
        <v>44452</v>
      </c>
      <c r="C32" s="63">
        <f>_xll.RData(A32,"CF_CLOSE")</f>
        <v>1.1849500000000002</v>
      </c>
      <c r="D32" s="67">
        <f>C32-C31</f>
        <v>6.5000000000003944E-4</v>
      </c>
      <c r="E32" s="163"/>
      <c r="F32" s="163"/>
      <c r="G32" s="163"/>
      <c r="H32" s="163"/>
      <c r="I32" s="162"/>
    </row>
    <row r="33" spans="1:9" ht="15" thickBot="1" x14ac:dyDescent="0.4">
      <c r="A33" s="57" t="s">
        <v>174</v>
      </c>
      <c r="B33" s="56">
        <f>_xll.RData(A33,"EXPIR_DATE")</f>
        <v>44487</v>
      </c>
      <c r="C33" s="64">
        <f>_xll.RData(A33,"CF_CLOSE")</f>
        <v>1.1858500000000001</v>
      </c>
      <c r="E33" s="163"/>
      <c r="F33" s="163"/>
      <c r="G33" s="163"/>
      <c r="H33" s="163"/>
      <c r="I33" s="162"/>
    </row>
    <row r="34" spans="1:9" x14ac:dyDescent="0.35">
      <c r="B34" s="55"/>
      <c r="C34" s="62"/>
      <c r="E34" s="163"/>
      <c r="F34" s="163"/>
      <c r="G34" s="163"/>
      <c r="H34" s="163"/>
      <c r="I34" s="162"/>
    </row>
    <row r="35" spans="1:9" x14ac:dyDescent="0.35">
      <c r="A35" s="8" t="s">
        <v>90</v>
      </c>
      <c r="E35" s="163"/>
      <c r="F35" s="163"/>
      <c r="G35" s="163"/>
      <c r="H35" s="163"/>
      <c r="I35" s="162"/>
    </row>
    <row r="36" spans="1:9" x14ac:dyDescent="0.35">
      <c r="E36" s="164"/>
      <c r="F36" s="164"/>
      <c r="G36" s="164"/>
      <c r="H36" s="164"/>
    </row>
    <row r="37" spans="1:9" x14ac:dyDescent="0.35">
      <c r="A37" s="8" t="s">
        <v>91</v>
      </c>
      <c r="B37" s="67"/>
      <c r="E37" s="164"/>
      <c r="F37" s="164"/>
      <c r="G37" s="164"/>
      <c r="H37" s="164"/>
    </row>
    <row r="38" spans="1:9" x14ac:dyDescent="0.35">
      <c r="B38" s="67"/>
    </row>
    <row r="39" spans="1:9" x14ac:dyDescent="0.35">
      <c r="B39" s="67"/>
    </row>
    <row r="42" spans="1:9" ht="15" thickBot="1" x14ac:dyDescent="0.4"/>
    <row r="43" spans="1:9" x14ac:dyDescent="0.35">
      <c r="A43" s="174" t="s">
        <v>122</v>
      </c>
      <c r="B43" s="175"/>
      <c r="C43" s="175"/>
      <c r="D43" s="175"/>
      <c r="E43" s="44"/>
    </row>
    <row r="44" spans="1:9" x14ac:dyDescent="0.35">
      <c r="A44" s="48"/>
      <c r="B44" s="9"/>
      <c r="C44" s="116" t="s">
        <v>99</v>
      </c>
      <c r="D44" s="116" t="s">
        <v>100</v>
      </c>
      <c r="E44" s="18"/>
    </row>
    <row r="45" spans="1:9" x14ac:dyDescent="0.35">
      <c r="A45" s="48" t="s">
        <v>97</v>
      </c>
      <c r="B45" s="71">
        <v>42174</v>
      </c>
      <c r="C45" s="153">
        <f>C31*1000</f>
        <v>1184.3000000000002</v>
      </c>
      <c r="D45" s="116">
        <f>_xll.RData(A31,"CF_LAST")*1000</f>
        <v>1189.4000000000001</v>
      </c>
      <c r="E45" s="18"/>
    </row>
    <row r="46" spans="1:9" ht="15" thickBot="1" x14ac:dyDescent="0.4">
      <c r="A46" s="48"/>
      <c r="B46" s="9"/>
      <c r="C46" s="9"/>
      <c r="D46" s="9"/>
      <c r="E46" s="18"/>
    </row>
    <row r="47" spans="1:9" x14ac:dyDescent="0.35">
      <c r="A47" s="75" t="s">
        <v>168</v>
      </c>
      <c r="B47" s="76" t="s">
        <v>95</v>
      </c>
      <c r="C47" s="76" t="s">
        <v>96</v>
      </c>
      <c r="D47" s="76" t="s">
        <v>98</v>
      </c>
      <c r="E47" s="77" t="s">
        <v>101</v>
      </c>
    </row>
    <row r="48" spans="1:9" x14ac:dyDescent="0.35">
      <c r="A48" s="114">
        <f>ExpiFX1</f>
        <v>42187</v>
      </c>
      <c r="B48" s="74" t="str">
        <f>'Live Prices'!A29</f>
        <v>Jul</v>
      </c>
      <c r="C48" s="155" t="e">
        <f ca="1">B28*1000</f>
        <v>#VALUE!</v>
      </c>
      <c r="D48" s="101" t="e">
        <f ca="1">offset1-$C$45</f>
        <v>#VALUE!</v>
      </c>
      <c r="E48" s="156" t="e">
        <f ca="1">$D$45+D48</f>
        <v>#VALUE!</v>
      </c>
    </row>
    <row r="49" spans="1:15" x14ac:dyDescent="0.35">
      <c r="A49" s="114">
        <f>ExpiFX2</f>
        <v>42223</v>
      </c>
      <c r="B49" s="74" t="str">
        <f>'Live Prices'!A30</f>
        <v>Aug</v>
      </c>
      <c r="C49" s="155" t="e">
        <f ca="1">C28*1000</f>
        <v>#VALUE!</v>
      </c>
      <c r="D49" s="101" t="e">
        <f ca="1">offset2-$C$45</f>
        <v>#VALUE!</v>
      </c>
      <c r="E49" s="156" t="e">
        <f ca="1">$D$45+D49</f>
        <v>#VALUE!</v>
      </c>
    </row>
    <row r="50" spans="1:15" x14ac:dyDescent="0.35">
      <c r="A50" s="114">
        <f>ExpiFX3</f>
        <v>42251</v>
      </c>
      <c r="B50" s="74" t="str">
        <f>'Live Prices'!A31</f>
        <v>Sep</v>
      </c>
      <c r="C50" s="155" t="e">
        <f ca="1">D28*1000</f>
        <v>#VALUE!</v>
      </c>
      <c r="D50" s="101" t="e">
        <f ca="1">offset3-$C$45</f>
        <v>#VALUE!</v>
      </c>
      <c r="E50" s="156" t="e">
        <f ca="1">$D$45+D50</f>
        <v>#VALUE!</v>
      </c>
    </row>
    <row r="51" spans="1:15" x14ac:dyDescent="0.35">
      <c r="A51" s="114">
        <f>ExpiFX4</f>
        <v>42342</v>
      </c>
      <c r="B51" s="74" t="str">
        <f>'Live Prices'!A32</f>
        <v>Dec</v>
      </c>
      <c r="C51" s="155" t="e">
        <f ca="1">E28*1000</f>
        <v>#VALUE!</v>
      </c>
      <c r="D51" s="101" t="e">
        <f ca="1">offset4-$C$45</f>
        <v>#VALUE!</v>
      </c>
      <c r="E51" s="156" t="e">
        <f ca="1">$D$45+D51</f>
        <v>#VALUE!</v>
      </c>
    </row>
    <row r="52" spans="1:15" x14ac:dyDescent="0.35">
      <c r="A52" s="114">
        <f>ExpiFX5</f>
        <v>42342</v>
      </c>
      <c r="B52" s="74" t="str">
        <f>'Live Prices'!A33</f>
        <v>Dec</v>
      </c>
      <c r="C52" s="155" t="e">
        <f ca="1">F28*1000</f>
        <v>#VALUE!</v>
      </c>
      <c r="D52" s="101" t="e">
        <f ca="1">offset5-$C$45</f>
        <v>#VALUE!</v>
      </c>
      <c r="E52" s="156" t="e">
        <f t="shared" ref="E52:E54" ca="1" si="24">$D$45+D52</f>
        <v>#VALUE!</v>
      </c>
    </row>
    <row r="53" spans="1:15" x14ac:dyDescent="0.35">
      <c r="A53" s="114">
        <f>ExpiFX6</f>
        <v>42342</v>
      </c>
      <c r="B53" s="74" t="str">
        <f>'Live Prices'!A34</f>
        <v>Dec</v>
      </c>
      <c r="C53" s="155" t="e">
        <f ca="1">G28*1000</f>
        <v>#VALUE!</v>
      </c>
      <c r="D53" s="101" t="e">
        <f ca="1">offset6-$C$45</f>
        <v>#VALUE!</v>
      </c>
      <c r="E53" s="156" t="e">
        <f ca="1">$D$45+D53</f>
        <v>#VALUE!</v>
      </c>
    </row>
    <row r="54" spans="1:15" x14ac:dyDescent="0.35">
      <c r="A54" s="114">
        <f>ExpiFX7</f>
        <v>42433</v>
      </c>
      <c r="B54" s="74" t="str">
        <f>'Live Prices'!A35</f>
        <v>Mar</v>
      </c>
      <c r="C54" s="155" t="e">
        <f ca="1">H28*1000</f>
        <v>#VALUE!</v>
      </c>
      <c r="D54" s="101" t="e">
        <f ca="1">offset7FX-$C$45</f>
        <v>#VALUE!</v>
      </c>
      <c r="E54" s="156" t="e">
        <f t="shared" ca="1" si="24"/>
        <v>#VALUE!</v>
      </c>
    </row>
    <row r="55" spans="1:15" ht="15" thickBot="1" x14ac:dyDescent="0.4">
      <c r="A55" s="115"/>
      <c r="B55" s="74"/>
      <c r="C55" s="155"/>
      <c r="D55" s="101"/>
      <c r="E55" s="156"/>
    </row>
    <row r="56" spans="1:15" x14ac:dyDescent="0.35">
      <c r="A56" s="42" t="s">
        <v>126</v>
      </c>
      <c r="B56" s="43"/>
      <c r="C56" s="43"/>
      <c r="D56" s="44"/>
    </row>
    <row r="57" spans="1:15" x14ac:dyDescent="0.35">
      <c r="A57" s="48" t="s">
        <v>99</v>
      </c>
      <c r="B57" s="9">
        <f>B6</f>
        <v>1.1842000000000001</v>
      </c>
      <c r="C57" s="9" t="s">
        <v>99</v>
      </c>
      <c r="D57" s="18" t="s">
        <v>100</v>
      </c>
    </row>
    <row r="58" spans="1:15" x14ac:dyDescent="0.35">
      <c r="A58" s="48" t="s">
        <v>97</v>
      </c>
      <c r="B58" s="71">
        <v>41974</v>
      </c>
      <c r="C58" s="72">
        <f>C45</f>
        <v>1184.3000000000002</v>
      </c>
      <c r="D58" s="18">
        <f>D45</f>
        <v>1189.4000000000001</v>
      </c>
    </row>
    <row r="59" spans="1:15" x14ac:dyDescent="0.35">
      <c r="A59" s="48" t="s">
        <v>91</v>
      </c>
      <c r="B59" s="72">
        <f>B57-C58</f>
        <v>-1183.1158000000003</v>
      </c>
      <c r="C59" s="9"/>
      <c r="D59" s="18"/>
    </row>
    <row r="60" spans="1:15" ht="15" thickBot="1" x14ac:dyDescent="0.4">
      <c r="A60" s="51" t="s">
        <v>127</v>
      </c>
      <c r="B60" s="73">
        <f>D58+B59</f>
        <v>6.2841999999998279</v>
      </c>
      <c r="C60" s="52"/>
      <c r="D60" s="53"/>
    </row>
    <row r="61" spans="1:15" ht="15" thickBot="1" x14ac:dyDescent="0.4">
      <c r="B61" s="67"/>
    </row>
    <row r="62" spans="1:15" x14ac:dyDescent="0.35">
      <c r="A62" s="42" t="s">
        <v>102</v>
      </c>
      <c r="B62" s="43"/>
      <c r="C62" s="43"/>
      <c r="D62" s="43"/>
      <c r="E62" s="43"/>
      <c r="F62" s="44"/>
    </row>
    <row r="63" spans="1:15" x14ac:dyDescent="0.35">
      <c r="A63" s="48" t="s">
        <v>103</v>
      </c>
      <c r="B63" s="9" t="s">
        <v>104</v>
      </c>
      <c r="C63" s="9" t="s">
        <v>140</v>
      </c>
      <c r="D63" s="9" t="s">
        <v>36</v>
      </c>
      <c r="E63" s="9" t="s">
        <v>22</v>
      </c>
      <c r="F63" s="18" t="s">
        <v>113</v>
      </c>
      <c r="G63" s="8" t="s">
        <v>119</v>
      </c>
      <c r="H63" s="8" t="s">
        <v>133</v>
      </c>
      <c r="J63" s="8" t="s">
        <v>135</v>
      </c>
      <c r="K63" s="8" t="s">
        <v>136</v>
      </c>
      <c r="L63" s="8" t="s">
        <v>137</v>
      </c>
      <c r="M63" s="8" t="s">
        <v>138</v>
      </c>
      <c r="N63" s="8" t="s">
        <v>139</v>
      </c>
      <c r="O63" s="8" t="s">
        <v>144</v>
      </c>
    </row>
    <row r="64" spans="1:15" x14ac:dyDescent="0.35">
      <c r="A64" s="48" t="s">
        <v>105</v>
      </c>
      <c r="B64" s="9" t="s">
        <v>106</v>
      </c>
      <c r="C64" s="9" t="s">
        <v>107</v>
      </c>
      <c r="D64" s="9">
        <v>50</v>
      </c>
      <c r="E64" s="9">
        <v>365</v>
      </c>
      <c r="F64" s="18" t="s">
        <v>81</v>
      </c>
      <c r="G64" s="8" t="s">
        <v>120</v>
      </c>
      <c r="H64" s="8" t="s">
        <v>134</v>
      </c>
      <c r="J64" s="8">
        <v>1E-4</v>
      </c>
      <c r="K64" s="86">
        <v>0.06</v>
      </c>
      <c r="M64" s="86">
        <v>0.03</v>
      </c>
      <c r="N64" s="86">
        <v>0.4</v>
      </c>
      <c r="O64" s="8" t="s">
        <v>145</v>
      </c>
    </row>
    <row r="65" spans="1:14" ht="15" thickBot="1" x14ac:dyDescent="0.4">
      <c r="A65" s="51" t="s">
        <v>114</v>
      </c>
      <c r="B65" s="52" t="s">
        <v>115</v>
      </c>
      <c r="C65" s="52" t="s">
        <v>116</v>
      </c>
      <c r="D65" s="52">
        <v>50</v>
      </c>
      <c r="E65" s="52">
        <v>365</v>
      </c>
      <c r="F65" s="53" t="s">
        <v>117</v>
      </c>
      <c r="G65" s="8" t="s">
        <v>121</v>
      </c>
      <c r="J65" s="8">
        <v>1E-3</v>
      </c>
      <c r="K65" s="86">
        <v>0.15</v>
      </c>
      <c r="M65" s="86">
        <v>0.08</v>
      </c>
      <c r="N65" s="86">
        <v>0.8</v>
      </c>
    </row>
    <row r="66" spans="1:14" ht="15" thickBot="1" x14ac:dyDescent="0.4"/>
    <row r="67" spans="1:14" x14ac:dyDescent="0.35">
      <c r="A67" s="42" t="s">
        <v>108</v>
      </c>
      <c r="B67" s="43" t="s">
        <v>128</v>
      </c>
      <c r="C67" s="44" t="s">
        <v>130</v>
      </c>
    </row>
    <row r="68" spans="1:14" x14ac:dyDescent="0.35">
      <c r="A68" s="48" t="s">
        <v>110</v>
      </c>
      <c r="B68" s="9" t="s">
        <v>109</v>
      </c>
      <c r="C68" s="18" t="s">
        <v>118</v>
      </c>
    </row>
    <row r="69" spans="1:14" ht="15" thickBot="1" x14ac:dyDescent="0.4">
      <c r="A69" s="51" t="s">
        <v>111</v>
      </c>
      <c r="B69" s="52" t="s">
        <v>112</v>
      </c>
      <c r="C69" s="53" t="s">
        <v>129</v>
      </c>
    </row>
    <row r="72" spans="1:14" ht="15" thickBot="1" x14ac:dyDescent="0.4"/>
    <row r="73" spans="1:14" ht="15" thickBot="1" x14ac:dyDescent="0.4">
      <c r="A73" s="178" t="s">
        <v>125</v>
      </c>
      <c r="B73" s="179"/>
      <c r="C73" s="179"/>
      <c r="D73" s="180"/>
    </row>
    <row r="74" spans="1:14" x14ac:dyDescent="0.35">
      <c r="A74" s="75" t="s">
        <v>95</v>
      </c>
      <c r="B74" s="76" t="s">
        <v>123</v>
      </c>
    </row>
    <row r="75" spans="1:14" x14ac:dyDescent="0.35">
      <c r="A75" s="83">
        <v>41913</v>
      </c>
      <c r="B75" s="84" t="e">
        <f ca="1">B22</f>
        <v>#VALUE!</v>
      </c>
    </row>
    <row r="76" spans="1:14" x14ac:dyDescent="0.35">
      <c r="A76" s="83">
        <v>41944</v>
      </c>
      <c r="B76" s="84" t="e">
        <f ca="1">C22</f>
        <v>#VALUE!</v>
      </c>
    </row>
    <row r="77" spans="1:14" x14ac:dyDescent="0.35">
      <c r="A77" s="78" t="s">
        <v>92</v>
      </c>
      <c r="B77" s="84" t="e">
        <f ca="1">D22</f>
        <v>#VALUE!</v>
      </c>
    </row>
    <row r="78" spans="1:14" x14ac:dyDescent="0.35">
      <c r="A78" s="78" t="s">
        <v>93</v>
      </c>
      <c r="B78" s="84" t="e">
        <f ca="1">E22</f>
        <v>#VALUE!</v>
      </c>
    </row>
    <row r="79" spans="1:14" ht="15" thickBot="1" x14ac:dyDescent="0.4">
      <c r="A79" s="80" t="s">
        <v>94</v>
      </c>
      <c r="B79" s="85" t="e">
        <f ca="1">F22</f>
        <v>#VALUE!</v>
      </c>
    </row>
    <row r="80" spans="1:14" ht="15" thickBot="1" x14ac:dyDescent="0.4"/>
    <row r="81" spans="1:7" ht="15" thickBot="1" x14ac:dyDescent="0.4">
      <c r="A81" s="178" t="s">
        <v>124</v>
      </c>
      <c r="B81" s="179"/>
      <c r="C81" s="179"/>
      <c r="D81" s="180"/>
    </row>
    <row r="82" spans="1:7" x14ac:dyDescent="0.35">
      <c r="A82" s="75" t="s">
        <v>95</v>
      </c>
      <c r="B82" s="76" t="s">
        <v>123</v>
      </c>
    </row>
    <row r="83" spans="1:7" x14ac:dyDescent="0.35">
      <c r="A83" s="83">
        <v>41913</v>
      </c>
      <c r="B83" s="84" t="e">
        <f ca="1">B23</f>
        <v>#VALUE!</v>
      </c>
    </row>
    <row r="84" spans="1:7" x14ac:dyDescent="0.35">
      <c r="A84" s="83">
        <v>41944</v>
      </c>
      <c r="B84" s="84">
        <v>2.0000000000000001E-4</v>
      </c>
    </row>
    <row r="85" spans="1:7" x14ac:dyDescent="0.35">
      <c r="A85" s="78" t="s">
        <v>92</v>
      </c>
      <c r="B85" s="84" t="e">
        <f ca="1">D23</f>
        <v>#VALUE!</v>
      </c>
    </row>
    <row r="86" spans="1:7" x14ac:dyDescent="0.35">
      <c r="A86" s="78" t="s">
        <v>93</v>
      </c>
      <c r="B86" s="74">
        <f>E66</f>
        <v>0</v>
      </c>
    </row>
    <row r="87" spans="1:7" ht="15" thickBot="1" x14ac:dyDescent="0.4">
      <c r="A87" s="80" t="s">
        <v>94</v>
      </c>
      <c r="B87" s="81">
        <f>F66</f>
        <v>0</v>
      </c>
    </row>
    <row r="89" spans="1:7" ht="15" thickBot="1" x14ac:dyDescent="0.4"/>
    <row r="90" spans="1:7" x14ac:dyDescent="0.35">
      <c r="A90" s="42" t="s">
        <v>131</v>
      </c>
      <c r="B90" s="43"/>
      <c r="C90" s="43"/>
      <c r="D90" s="43"/>
      <c r="E90" s="43"/>
      <c r="F90" s="43"/>
      <c r="G90" s="44"/>
    </row>
    <row r="91" spans="1:7" x14ac:dyDescent="0.35">
      <c r="A91" s="48"/>
      <c r="B91" s="9"/>
      <c r="C91" s="9"/>
      <c r="D91" s="9"/>
      <c r="E91" s="9"/>
      <c r="F91" s="9"/>
      <c r="G91" s="18"/>
    </row>
    <row r="92" spans="1:7" x14ac:dyDescent="0.35">
      <c r="A92" s="48"/>
      <c r="B92" s="9" t="s">
        <v>132</v>
      </c>
      <c r="C92" s="71">
        <v>41913</v>
      </c>
      <c r="D92" s="71">
        <v>41944</v>
      </c>
      <c r="E92" s="71">
        <v>41974</v>
      </c>
      <c r="F92" s="71">
        <v>41699</v>
      </c>
      <c r="G92" s="87">
        <v>41791</v>
      </c>
    </row>
    <row r="93" spans="1:7" x14ac:dyDescent="0.35">
      <c r="A93" s="48" t="s">
        <v>142</v>
      </c>
      <c r="B93" s="9">
        <v>2500</v>
      </c>
      <c r="C93" s="88">
        <v>0.4</v>
      </c>
      <c r="D93" s="9"/>
      <c r="E93" s="9"/>
      <c r="F93" s="9"/>
      <c r="G93" s="18"/>
    </row>
    <row r="94" spans="1:7" x14ac:dyDescent="0.35">
      <c r="A94" s="48" t="s">
        <v>142</v>
      </c>
      <c r="B94" s="9">
        <v>2550</v>
      </c>
      <c r="C94" s="88">
        <v>0.38</v>
      </c>
      <c r="D94" s="9"/>
      <c r="E94" s="9"/>
      <c r="F94" s="9"/>
      <c r="G94" s="18"/>
    </row>
    <row r="95" spans="1:7" x14ac:dyDescent="0.35">
      <c r="A95" s="48" t="s">
        <v>142</v>
      </c>
      <c r="B95" s="9">
        <v>3000</v>
      </c>
      <c r="C95" s="9"/>
      <c r="D95" s="9"/>
      <c r="E95" s="9"/>
      <c r="F95" s="9"/>
      <c r="G95" s="18"/>
    </row>
    <row r="96" spans="1:7" x14ac:dyDescent="0.35">
      <c r="A96" s="48" t="s">
        <v>142</v>
      </c>
      <c r="B96" s="9">
        <f>B95+50</f>
        <v>3050</v>
      </c>
      <c r="C96" s="9"/>
      <c r="D96" s="9"/>
      <c r="E96" s="9"/>
      <c r="F96" s="9"/>
      <c r="G96" s="18"/>
    </row>
    <row r="97" spans="1:7" x14ac:dyDescent="0.35">
      <c r="A97" s="48" t="s">
        <v>142</v>
      </c>
      <c r="B97" s="9">
        <f t="shared" ref="B97:B114" si="25">B96+50</f>
        <v>3100</v>
      </c>
      <c r="C97" s="9"/>
      <c r="D97" s="9"/>
      <c r="E97" s="9"/>
      <c r="F97" s="9"/>
      <c r="G97" s="18"/>
    </row>
    <row r="98" spans="1:7" x14ac:dyDescent="0.35">
      <c r="A98" s="48" t="s">
        <v>142</v>
      </c>
      <c r="B98" s="9">
        <f t="shared" si="25"/>
        <v>3150</v>
      </c>
      <c r="C98" s="9"/>
      <c r="D98" s="9"/>
      <c r="E98" s="9"/>
      <c r="F98" s="9"/>
      <c r="G98" s="18"/>
    </row>
    <row r="99" spans="1:7" x14ac:dyDescent="0.35">
      <c r="A99" s="45" t="s">
        <v>141</v>
      </c>
      <c r="B99" s="9">
        <f t="shared" si="25"/>
        <v>3200</v>
      </c>
      <c r="C99" s="9"/>
      <c r="D99" s="9"/>
      <c r="E99" s="9"/>
      <c r="F99" s="9"/>
      <c r="G99" s="18"/>
    </row>
    <row r="100" spans="1:7" x14ac:dyDescent="0.35">
      <c r="A100" s="48" t="s">
        <v>143</v>
      </c>
      <c r="B100" s="9">
        <f t="shared" si="25"/>
        <v>3250</v>
      </c>
      <c r="C100" s="9"/>
      <c r="D100" s="9"/>
      <c r="E100" s="9"/>
      <c r="F100" s="9"/>
      <c r="G100" s="18"/>
    </row>
    <row r="101" spans="1:7" x14ac:dyDescent="0.35">
      <c r="A101" s="48" t="s">
        <v>143</v>
      </c>
      <c r="B101" s="9">
        <f t="shared" si="25"/>
        <v>3300</v>
      </c>
      <c r="C101" s="9"/>
      <c r="D101" s="9"/>
      <c r="E101" s="9"/>
      <c r="F101" s="9"/>
      <c r="G101" s="18"/>
    </row>
    <row r="102" spans="1:7" x14ac:dyDescent="0.35">
      <c r="A102" s="48" t="s">
        <v>143</v>
      </c>
      <c r="B102" s="9">
        <f t="shared" si="25"/>
        <v>3350</v>
      </c>
      <c r="C102" s="9"/>
      <c r="D102" s="9"/>
      <c r="E102" s="9"/>
      <c r="F102" s="9"/>
      <c r="G102" s="18"/>
    </row>
    <row r="103" spans="1:7" x14ac:dyDescent="0.35">
      <c r="A103" s="48" t="s">
        <v>143</v>
      </c>
      <c r="B103" s="9">
        <f t="shared" si="25"/>
        <v>3400</v>
      </c>
      <c r="C103" s="9"/>
      <c r="D103" s="9"/>
      <c r="E103" s="9"/>
      <c r="F103" s="9"/>
      <c r="G103" s="18"/>
    </row>
    <row r="104" spans="1:7" x14ac:dyDescent="0.35">
      <c r="A104" s="48" t="s">
        <v>143</v>
      </c>
      <c r="B104" s="9">
        <f t="shared" si="25"/>
        <v>3450</v>
      </c>
      <c r="C104" s="9"/>
      <c r="D104" s="9"/>
      <c r="E104" s="9"/>
      <c r="F104" s="9"/>
      <c r="G104" s="18"/>
    </row>
    <row r="105" spans="1:7" x14ac:dyDescent="0.35">
      <c r="A105" s="48" t="s">
        <v>143</v>
      </c>
      <c r="B105" s="9">
        <f t="shared" si="25"/>
        <v>3500</v>
      </c>
      <c r="C105" s="9"/>
      <c r="D105" s="9"/>
      <c r="E105" s="9"/>
      <c r="F105" s="9"/>
      <c r="G105" s="18"/>
    </row>
    <row r="106" spans="1:7" x14ac:dyDescent="0.35">
      <c r="A106" s="48" t="s">
        <v>143</v>
      </c>
      <c r="B106" s="9">
        <f t="shared" si="25"/>
        <v>3550</v>
      </c>
      <c r="C106" s="9"/>
      <c r="D106" s="9"/>
      <c r="E106" s="9"/>
      <c r="F106" s="9"/>
      <c r="G106" s="18"/>
    </row>
    <row r="107" spans="1:7" x14ac:dyDescent="0.35">
      <c r="A107" s="48" t="s">
        <v>143</v>
      </c>
      <c r="B107" s="9">
        <f t="shared" si="25"/>
        <v>3600</v>
      </c>
      <c r="C107" s="9"/>
      <c r="D107" s="9"/>
      <c r="E107" s="9"/>
      <c r="F107" s="9"/>
      <c r="G107" s="18"/>
    </row>
    <row r="108" spans="1:7" x14ac:dyDescent="0.35">
      <c r="A108" s="48" t="s">
        <v>143</v>
      </c>
      <c r="B108" s="9">
        <f t="shared" si="25"/>
        <v>3650</v>
      </c>
      <c r="C108" s="9"/>
      <c r="D108" s="9"/>
      <c r="E108" s="9"/>
      <c r="F108" s="9"/>
      <c r="G108" s="18"/>
    </row>
    <row r="109" spans="1:7" x14ac:dyDescent="0.35">
      <c r="A109" s="48" t="s">
        <v>143</v>
      </c>
      <c r="B109" s="9">
        <f t="shared" si="25"/>
        <v>3700</v>
      </c>
      <c r="C109" s="9"/>
      <c r="D109" s="9"/>
      <c r="E109" s="9"/>
      <c r="F109" s="9"/>
      <c r="G109" s="18"/>
    </row>
    <row r="110" spans="1:7" x14ac:dyDescent="0.35">
      <c r="A110" s="48" t="s">
        <v>143</v>
      </c>
      <c r="B110" s="9">
        <f t="shared" si="25"/>
        <v>3750</v>
      </c>
      <c r="C110" s="9"/>
      <c r="D110" s="9"/>
      <c r="E110" s="9"/>
      <c r="F110" s="9"/>
      <c r="G110" s="18"/>
    </row>
    <row r="111" spans="1:7" x14ac:dyDescent="0.35">
      <c r="A111" s="48" t="s">
        <v>143</v>
      </c>
      <c r="B111" s="9">
        <f t="shared" si="25"/>
        <v>3800</v>
      </c>
      <c r="C111" s="9"/>
      <c r="D111" s="9"/>
      <c r="E111" s="9"/>
      <c r="F111" s="9"/>
      <c r="G111" s="18"/>
    </row>
    <row r="112" spans="1:7" x14ac:dyDescent="0.35">
      <c r="A112" s="48" t="s">
        <v>143</v>
      </c>
      <c r="B112" s="9">
        <f t="shared" si="25"/>
        <v>3850</v>
      </c>
      <c r="C112" s="9"/>
      <c r="D112" s="9"/>
      <c r="E112" s="9"/>
      <c r="F112" s="9"/>
      <c r="G112" s="18"/>
    </row>
    <row r="113" spans="1:7" x14ac:dyDescent="0.35">
      <c r="A113" s="48" t="s">
        <v>143</v>
      </c>
      <c r="B113" s="9">
        <f t="shared" si="25"/>
        <v>3900</v>
      </c>
      <c r="C113" s="9"/>
      <c r="D113" s="9"/>
      <c r="E113" s="9"/>
      <c r="F113" s="9"/>
      <c r="G113" s="18"/>
    </row>
    <row r="114" spans="1:7" ht="15" thickBot="1" x14ac:dyDescent="0.4">
      <c r="A114" s="51" t="s">
        <v>143</v>
      </c>
      <c r="B114" s="52">
        <f t="shared" si="25"/>
        <v>3950</v>
      </c>
      <c r="C114" s="52"/>
      <c r="D114" s="52"/>
      <c r="E114" s="52"/>
      <c r="F114" s="52"/>
      <c r="G114" s="53"/>
    </row>
    <row r="117" spans="1:7" x14ac:dyDescent="0.35">
      <c r="A117" s="8" t="s">
        <v>146</v>
      </c>
    </row>
    <row r="118" spans="1:7" x14ac:dyDescent="0.35">
      <c r="A118" s="8" t="s">
        <v>147</v>
      </c>
    </row>
    <row r="123" spans="1:7" x14ac:dyDescent="0.35">
      <c r="A123" s="103" t="s">
        <v>167</v>
      </c>
    </row>
    <row r="124" spans="1:7" x14ac:dyDescent="0.35">
      <c r="A124" s="103" t="s">
        <v>149</v>
      </c>
    </row>
    <row r="125" spans="1:7" x14ac:dyDescent="0.35">
      <c r="A125" s="8" t="s">
        <v>105</v>
      </c>
    </row>
    <row r="126" spans="1:7" x14ac:dyDescent="0.35">
      <c r="A126" s="8" t="s">
        <v>106</v>
      </c>
    </row>
    <row r="127" spans="1:7" x14ac:dyDescent="0.35">
      <c r="A127" s="8" t="s">
        <v>150</v>
      </c>
    </row>
    <row r="128" spans="1:7" x14ac:dyDescent="0.35">
      <c r="A128" s="8" t="s">
        <v>151</v>
      </c>
    </row>
    <row r="129" spans="1:1" x14ac:dyDescent="0.35">
      <c r="A129" s="8" t="s">
        <v>3</v>
      </c>
    </row>
    <row r="130" spans="1:1" x14ac:dyDescent="0.35">
      <c r="A130" s="8" t="s">
        <v>152</v>
      </c>
    </row>
    <row r="131" spans="1:1" x14ac:dyDescent="0.35">
      <c r="A131" s="8" t="s">
        <v>154</v>
      </c>
    </row>
    <row r="133" spans="1:1" x14ac:dyDescent="0.35">
      <c r="A133" s="103" t="s">
        <v>153</v>
      </c>
    </row>
    <row r="134" spans="1:1" x14ac:dyDescent="0.35">
      <c r="A134" s="8" t="s">
        <v>155</v>
      </c>
    </row>
    <row r="135" spans="1:1" x14ac:dyDescent="0.35">
      <c r="A135" s="8" t="s">
        <v>156</v>
      </c>
    </row>
    <row r="136" spans="1:1" x14ac:dyDescent="0.35">
      <c r="A136" s="8" t="s">
        <v>157</v>
      </c>
    </row>
    <row r="137" spans="1:1" x14ac:dyDescent="0.35">
      <c r="A137" s="8" t="s">
        <v>158</v>
      </c>
    </row>
    <row r="138" spans="1:1" x14ac:dyDescent="0.35">
      <c r="A138" s="8" t="s">
        <v>159</v>
      </c>
    </row>
    <row r="139" spans="1:1" x14ac:dyDescent="0.35">
      <c r="A139" s="8" t="s">
        <v>160</v>
      </c>
    </row>
    <row r="141" spans="1:1" x14ac:dyDescent="0.35">
      <c r="A141" s="103" t="s">
        <v>166</v>
      </c>
    </row>
    <row r="142" spans="1:1" x14ac:dyDescent="0.35">
      <c r="A142" s="8" t="s">
        <v>161</v>
      </c>
    </row>
    <row r="143" spans="1:1" x14ac:dyDescent="0.35">
      <c r="A143" s="8" t="s">
        <v>162</v>
      </c>
    </row>
    <row r="144" spans="1:1" x14ac:dyDescent="0.35">
      <c r="A144" s="8" t="s">
        <v>163</v>
      </c>
    </row>
    <row r="145" spans="1:1" x14ac:dyDescent="0.35">
      <c r="A145" s="8" t="s">
        <v>164</v>
      </c>
    </row>
    <row r="146" spans="1:1" x14ac:dyDescent="0.35">
      <c r="A146" s="8" t="s">
        <v>165</v>
      </c>
    </row>
  </sheetData>
  <mergeCells count="3">
    <mergeCell ref="A43:D43"/>
    <mergeCell ref="A73:D73"/>
    <mergeCell ref="A81:D8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81</vt:i4>
      </vt:variant>
    </vt:vector>
  </HeadingPairs>
  <TitlesOfParts>
    <vt:vector size="84" baseType="lpstr">
      <vt:lpstr>Live Prices</vt:lpstr>
      <vt:lpstr>Rate Calculation</vt:lpstr>
      <vt:lpstr>Rate Calculation FX</vt:lpstr>
      <vt:lpstr>Basis</vt:lpstr>
      <vt:lpstr>'Rate Calculation FX'!Divd1</vt:lpstr>
      <vt:lpstr>Divd1</vt:lpstr>
      <vt:lpstr>'Rate Calculation FX'!Divd2</vt:lpstr>
      <vt:lpstr>Divd2</vt:lpstr>
      <vt:lpstr>'Rate Calculation FX'!Divd3</vt:lpstr>
      <vt:lpstr>Divd3</vt:lpstr>
      <vt:lpstr>'Rate Calculation FX'!Divd4</vt:lpstr>
      <vt:lpstr>Divd4</vt:lpstr>
      <vt:lpstr>'Rate Calculation FX'!Divd5</vt:lpstr>
      <vt:lpstr>Divd5</vt:lpstr>
      <vt:lpstr>'Rate Calculation FX'!Divd6</vt:lpstr>
      <vt:lpstr>Divd6</vt:lpstr>
      <vt:lpstr>Divd7</vt:lpstr>
      <vt:lpstr>Divd8</vt:lpstr>
      <vt:lpstr>Expi1</vt:lpstr>
      <vt:lpstr>Expi2</vt:lpstr>
      <vt:lpstr>Expi3</vt:lpstr>
      <vt:lpstr>Expi4</vt:lpstr>
      <vt:lpstr>Expi5</vt:lpstr>
      <vt:lpstr>Expi6</vt:lpstr>
      <vt:lpstr>Expi7</vt:lpstr>
      <vt:lpstr>Expi8</vt:lpstr>
      <vt:lpstr>ExpiFX1</vt:lpstr>
      <vt:lpstr>ExpiFX2</vt:lpstr>
      <vt:lpstr>ExpiFX3</vt:lpstr>
      <vt:lpstr>ExpiFX4</vt:lpstr>
      <vt:lpstr>ExpiFX5</vt:lpstr>
      <vt:lpstr>ExpiFX6</vt:lpstr>
      <vt:lpstr>ExpiFX7</vt:lpstr>
      <vt:lpstr>LiquidfutRic</vt:lpstr>
      <vt:lpstr>MaTFX1</vt:lpstr>
      <vt:lpstr>MaTFX2</vt:lpstr>
      <vt:lpstr>MaTFX3</vt:lpstr>
      <vt:lpstr>MaTFX4</vt:lpstr>
      <vt:lpstr>MatT1</vt:lpstr>
      <vt:lpstr>MatT2</vt:lpstr>
      <vt:lpstr>MatT3</vt:lpstr>
      <vt:lpstr>MatT4</vt:lpstr>
      <vt:lpstr>MatT5</vt:lpstr>
      <vt:lpstr>MatT6</vt:lpstr>
      <vt:lpstr>MatT7</vt:lpstr>
      <vt:lpstr>MatT8</vt:lpstr>
      <vt:lpstr>'Rate Calculation FX'!offset1</vt:lpstr>
      <vt:lpstr>offset1</vt:lpstr>
      <vt:lpstr>'Rate Calculation FX'!offset2</vt:lpstr>
      <vt:lpstr>offset2</vt:lpstr>
      <vt:lpstr>'Rate Calculation FX'!offset3</vt:lpstr>
      <vt:lpstr>offset3</vt:lpstr>
      <vt:lpstr>'Rate Calculation FX'!offset4</vt:lpstr>
      <vt:lpstr>offset4</vt:lpstr>
      <vt:lpstr>'Rate Calculation FX'!offset5</vt:lpstr>
      <vt:lpstr>offset5</vt:lpstr>
      <vt:lpstr>'Rate Calculation FX'!offset6</vt:lpstr>
      <vt:lpstr>offset6</vt:lpstr>
      <vt:lpstr>offset7</vt:lpstr>
      <vt:lpstr>offset7FX</vt:lpstr>
      <vt:lpstr>offset8</vt:lpstr>
      <vt:lpstr>OptionType</vt:lpstr>
      <vt:lpstr>'Rate Calculation FX'!Rate1</vt:lpstr>
      <vt:lpstr>Rate1</vt:lpstr>
      <vt:lpstr>'Rate Calculation FX'!Rate2</vt:lpstr>
      <vt:lpstr>Rate2</vt:lpstr>
      <vt:lpstr>'Rate Calculation FX'!Rate3</vt:lpstr>
      <vt:lpstr>Rate3</vt:lpstr>
      <vt:lpstr>'Rate Calculation FX'!Rate4</vt:lpstr>
      <vt:lpstr>Rate4</vt:lpstr>
      <vt:lpstr>'Rate Calculation FX'!Rate5</vt:lpstr>
      <vt:lpstr>Rate5</vt:lpstr>
      <vt:lpstr>'Rate Calculation FX'!Rate6</vt:lpstr>
      <vt:lpstr>Rate6</vt:lpstr>
      <vt:lpstr>Rate7</vt:lpstr>
      <vt:lpstr>Rate8</vt:lpstr>
      <vt:lpstr>RtrPrefix</vt:lpstr>
      <vt:lpstr>RtrSufix</vt:lpstr>
      <vt:lpstr>SpotPrice</vt:lpstr>
      <vt:lpstr>TodayDate</vt:lpstr>
      <vt:lpstr>UndelyingPricePrev</vt:lpstr>
      <vt:lpstr>UnderlyingPrice</vt:lpstr>
      <vt:lpstr>UnderlyingRic</vt:lpstr>
      <vt:lpstr>YesterdayDate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Uilisateur1</dc:creator>
  <cp:lastModifiedBy>Hello Othman</cp:lastModifiedBy>
  <dcterms:created xsi:type="dcterms:W3CDTF">2014-05-15T16:08:35Z</dcterms:created>
  <dcterms:modified xsi:type="dcterms:W3CDTF">2021-07-29T15:23:27Z</dcterms:modified>
</cp:coreProperties>
</file>